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ma\Dropbox\Salma Research\2024_WaterMagazine\Codes\"/>
    </mc:Choice>
  </mc:AlternateContent>
  <xr:revisionPtr revIDLastSave="0" documentId="13_ncr:1_{334993B1-95DD-4729-BE30-00883597BBBD}" xr6:coauthVersionLast="47" xr6:coauthVersionMax="47" xr10:uidLastSave="{00000000-0000-0000-0000-000000000000}"/>
  <bookViews>
    <workbookView xWindow="-93" yWindow="-93" windowWidth="25786" windowHeight="15466" xr2:uid="{00000000-000D-0000-FFFF-FFFF00000000}"/>
  </bookViews>
  <sheets>
    <sheet name="Characteristics&amp;Parameters" sheetId="1" r:id="rId1"/>
    <sheet name="ConcentrationsCalcula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J1" i="2"/>
  <c r="B8" i="1"/>
  <c r="B2" i="2" l="1"/>
  <c r="J2" i="2"/>
  <c r="B16" i="1"/>
  <c r="B17" i="1" s="1"/>
  <c r="B14" i="1"/>
  <c r="K1" i="2" l="1"/>
  <c r="B3" i="2"/>
  <c r="A4" i="2"/>
  <c r="I4" i="2"/>
  <c r="B18" i="1"/>
  <c r="J3" i="2" s="1"/>
  <c r="J4" i="2" l="1"/>
  <c r="A5" i="2"/>
  <c r="B4" i="2"/>
  <c r="C19" i="1"/>
  <c r="I5" i="2"/>
  <c r="J5" i="2" s="1"/>
  <c r="B5" i="2" l="1"/>
  <c r="A6" i="2"/>
  <c r="I6" i="2"/>
  <c r="J6" i="2" s="1"/>
  <c r="B6" i="2" l="1"/>
  <c r="A7" i="2"/>
  <c r="I7" i="2"/>
  <c r="I8" i="2" l="1"/>
  <c r="J8" i="2" s="1"/>
  <c r="J7" i="2"/>
  <c r="B7" i="2"/>
  <c r="A8" i="2"/>
  <c r="I9" i="2"/>
  <c r="J9" i="2" s="1"/>
  <c r="B8" i="2" l="1"/>
  <c r="A9" i="2"/>
  <c r="I10" i="2"/>
  <c r="J10" i="2" s="1"/>
  <c r="B9" i="2" l="1"/>
  <c r="A10" i="2"/>
  <c r="I11" i="2"/>
  <c r="J11" i="2" l="1"/>
  <c r="B10" i="2"/>
  <c r="A11" i="2"/>
  <c r="I12" i="2"/>
  <c r="J12" i="2" s="1"/>
  <c r="B11" i="2" l="1"/>
  <c r="A12" i="2"/>
  <c r="I13" i="2"/>
  <c r="J13" i="2" s="1"/>
  <c r="B12" i="2" l="1"/>
  <c r="A13" i="2"/>
  <c r="I14" i="2"/>
  <c r="J14" i="2" s="1"/>
  <c r="B13" i="2" l="1"/>
  <c r="A14" i="2"/>
  <c r="I15" i="2"/>
  <c r="J15" i="2" l="1"/>
  <c r="B14" i="2"/>
  <c r="A15" i="2"/>
  <c r="I16" i="2"/>
  <c r="J16" i="2" l="1"/>
  <c r="B15" i="2"/>
  <c r="A16" i="2"/>
  <c r="I17" i="2"/>
  <c r="J17" i="2" s="1"/>
  <c r="B16" i="2" l="1"/>
  <c r="A17" i="2"/>
  <c r="I18" i="2"/>
  <c r="J18" i="2" s="1"/>
  <c r="B17" i="2" l="1"/>
  <c r="A18" i="2"/>
  <c r="I19" i="2"/>
  <c r="J19" i="2" s="1"/>
  <c r="B18" i="2" l="1"/>
  <c r="A19" i="2"/>
  <c r="I20" i="2"/>
  <c r="J20" i="2" s="1"/>
  <c r="B19" i="2" l="1"/>
  <c r="A20" i="2"/>
  <c r="I21" i="2"/>
  <c r="J21" i="2" s="1"/>
  <c r="B20" i="2" l="1"/>
  <c r="A21" i="2"/>
  <c r="I22" i="2"/>
  <c r="J22" i="2" s="1"/>
  <c r="B21" i="2" l="1"/>
  <c r="A22" i="2"/>
  <c r="I23" i="2"/>
  <c r="J23" i="2" l="1"/>
  <c r="B22" i="2"/>
  <c r="A23" i="2"/>
  <c r="I24" i="2"/>
  <c r="J24" i="2" s="1"/>
  <c r="B23" i="2" l="1"/>
  <c r="A24" i="2"/>
  <c r="I25" i="2"/>
  <c r="J25" i="2" l="1"/>
  <c r="B24" i="2"/>
  <c r="A25" i="2"/>
  <c r="I26" i="2"/>
  <c r="J26" i="2" l="1"/>
  <c r="B25" i="2"/>
  <c r="A26" i="2"/>
  <c r="I27" i="2"/>
  <c r="J27" i="2" s="1"/>
  <c r="B26" i="2" l="1"/>
  <c r="A27" i="2"/>
  <c r="I28" i="2"/>
  <c r="J28" i="2" s="1"/>
  <c r="B27" i="2" l="1"/>
  <c r="A28" i="2"/>
  <c r="I29" i="2"/>
  <c r="J29" i="2" l="1"/>
  <c r="B28" i="2"/>
  <c r="A29" i="2"/>
  <c r="I30" i="2"/>
  <c r="J30" i="2" s="1"/>
  <c r="B29" i="2" l="1"/>
  <c r="A30" i="2"/>
  <c r="I31" i="2"/>
  <c r="J31" i="2" s="1"/>
  <c r="B30" i="2" l="1"/>
  <c r="A31" i="2"/>
  <c r="I32" i="2"/>
  <c r="J32" i="2" s="1"/>
  <c r="B31" i="2" l="1"/>
  <c r="A32" i="2"/>
  <c r="I33" i="2"/>
  <c r="J33" i="2" l="1"/>
  <c r="B32" i="2"/>
  <c r="A33" i="2"/>
  <c r="I34" i="2"/>
  <c r="J34" i="2" l="1"/>
  <c r="B33" i="2"/>
  <c r="A34" i="2"/>
  <c r="I35" i="2"/>
  <c r="J35" i="2" s="1"/>
  <c r="B34" i="2" l="1"/>
  <c r="A35" i="2"/>
  <c r="I36" i="2"/>
  <c r="J36" i="2" s="1"/>
  <c r="B35" i="2" l="1"/>
  <c r="A36" i="2"/>
  <c r="I37" i="2"/>
  <c r="I38" i="2" l="1"/>
  <c r="J37" i="2"/>
  <c r="B36" i="2"/>
  <c r="A37" i="2"/>
  <c r="I39" i="2" l="1"/>
  <c r="J38" i="2"/>
  <c r="B37" i="2"/>
  <c r="A38" i="2"/>
  <c r="I40" i="2" l="1"/>
  <c r="J39" i="2"/>
  <c r="B38" i="2"/>
  <c r="A39" i="2"/>
  <c r="I41" i="2" l="1"/>
  <c r="J40" i="2"/>
  <c r="B39" i="2"/>
  <c r="A40" i="2"/>
  <c r="I42" i="2" l="1"/>
  <c r="J41" i="2"/>
  <c r="A41" i="2"/>
  <c r="B40" i="2"/>
  <c r="I43" i="2" l="1"/>
  <c r="J42" i="2"/>
  <c r="A42" i="2"/>
  <c r="B41" i="2"/>
  <c r="I44" i="2" l="1"/>
  <c r="J43" i="2"/>
  <c r="B42" i="2"/>
  <c r="A43" i="2"/>
  <c r="I45" i="2" l="1"/>
  <c r="J44" i="2"/>
  <c r="B43" i="2"/>
  <c r="A44" i="2"/>
  <c r="I46" i="2" l="1"/>
  <c r="J45" i="2"/>
  <c r="B44" i="2"/>
  <c r="A45" i="2"/>
  <c r="I47" i="2" l="1"/>
  <c r="J46" i="2"/>
  <c r="B45" i="2"/>
  <c r="A46" i="2"/>
  <c r="I48" i="2" l="1"/>
  <c r="J47" i="2"/>
  <c r="B46" i="2"/>
  <c r="A47" i="2"/>
  <c r="I49" i="2" l="1"/>
  <c r="J48" i="2"/>
  <c r="B47" i="2"/>
  <c r="A48" i="2"/>
  <c r="I50" i="2" l="1"/>
  <c r="J49" i="2"/>
  <c r="A49" i="2"/>
  <c r="B48" i="2"/>
  <c r="I51" i="2" l="1"/>
  <c r="J50" i="2"/>
  <c r="A50" i="2"/>
  <c r="B49" i="2"/>
  <c r="I52" i="2" l="1"/>
  <c r="J51" i="2"/>
  <c r="A51" i="2"/>
  <c r="B50" i="2"/>
  <c r="I53" i="2" l="1"/>
  <c r="J52" i="2"/>
  <c r="B51" i="2"/>
  <c r="A52" i="2"/>
  <c r="I54" i="2" l="1"/>
  <c r="J53" i="2"/>
  <c r="B52" i="2"/>
  <c r="A53" i="2"/>
  <c r="I55" i="2" l="1"/>
  <c r="J54" i="2"/>
  <c r="A54" i="2"/>
  <c r="B53" i="2"/>
  <c r="I56" i="2" l="1"/>
  <c r="J55" i="2"/>
  <c r="B54" i="2"/>
  <c r="A55" i="2"/>
  <c r="I57" i="2" l="1"/>
  <c r="J56" i="2"/>
  <c r="B55" i="2"/>
  <c r="A56" i="2"/>
  <c r="I58" i="2" l="1"/>
  <c r="J57" i="2"/>
  <c r="A57" i="2"/>
  <c r="B56" i="2"/>
  <c r="I59" i="2" l="1"/>
  <c r="J58" i="2"/>
  <c r="A58" i="2"/>
  <c r="B57" i="2"/>
  <c r="I60" i="2" l="1"/>
  <c r="J59" i="2"/>
  <c r="A59" i="2"/>
  <c r="B58" i="2"/>
  <c r="I61" i="2" l="1"/>
  <c r="J60" i="2"/>
  <c r="B59" i="2"/>
  <c r="A60" i="2"/>
  <c r="I62" i="2" l="1"/>
  <c r="J61" i="2"/>
  <c r="B60" i="2"/>
  <c r="A61" i="2"/>
  <c r="I63" i="2" l="1"/>
  <c r="J62" i="2"/>
  <c r="J63" i="2" s="1"/>
  <c r="B61" i="2"/>
  <c r="A62" i="2"/>
  <c r="I64" i="2" l="1"/>
  <c r="B62" i="2"/>
  <c r="A63" i="2"/>
  <c r="I65" i="2" l="1"/>
  <c r="J64" i="2"/>
  <c r="B63" i="2"/>
  <c r="A64" i="2"/>
  <c r="I66" i="2" l="1"/>
  <c r="J65" i="2"/>
  <c r="A65" i="2"/>
  <c r="B64" i="2"/>
  <c r="I67" i="2" l="1"/>
  <c r="J66" i="2"/>
  <c r="A66" i="2"/>
  <c r="B65" i="2"/>
  <c r="I68" i="2" l="1"/>
  <c r="J67" i="2"/>
  <c r="A67" i="2"/>
  <c r="B66" i="2"/>
  <c r="I69" i="2" l="1"/>
  <c r="J68" i="2"/>
  <c r="B67" i="2"/>
  <c r="A68" i="2"/>
  <c r="I70" i="2" l="1"/>
  <c r="J69" i="2"/>
  <c r="B68" i="2"/>
  <c r="A69" i="2"/>
  <c r="I71" i="2" l="1"/>
  <c r="J70" i="2"/>
  <c r="B69" i="2"/>
  <c r="A70" i="2"/>
  <c r="J71" i="2" l="1"/>
  <c r="I72" i="2"/>
  <c r="B70" i="2"/>
  <c r="A71" i="2"/>
  <c r="J72" i="2" l="1"/>
  <c r="I73" i="2"/>
  <c r="B71" i="2"/>
  <c r="A72" i="2"/>
  <c r="J73" i="2" l="1"/>
  <c r="I74" i="2"/>
  <c r="A73" i="2"/>
  <c r="B72" i="2"/>
  <c r="J74" i="2" l="1"/>
  <c r="I75" i="2"/>
  <c r="A74" i="2"/>
  <c r="B73" i="2"/>
  <c r="J75" i="2" l="1"/>
  <c r="I76" i="2"/>
  <c r="A75" i="2"/>
  <c r="B74" i="2"/>
  <c r="J76" i="2" l="1"/>
  <c r="I77" i="2"/>
  <c r="B75" i="2"/>
  <c r="A76" i="2"/>
  <c r="J77" i="2" l="1"/>
  <c r="I78" i="2"/>
  <c r="B76" i="2"/>
  <c r="A77" i="2"/>
  <c r="J78" i="2" l="1"/>
  <c r="I79" i="2"/>
  <c r="B77" i="2"/>
  <c r="A78" i="2"/>
  <c r="J79" i="2" l="1"/>
  <c r="I80" i="2"/>
  <c r="B78" i="2"/>
  <c r="A79" i="2"/>
  <c r="J80" i="2" l="1"/>
  <c r="I81" i="2"/>
  <c r="B79" i="2"/>
  <c r="A80" i="2"/>
  <c r="J81" i="2" l="1"/>
  <c r="I82" i="2"/>
  <c r="A81" i="2"/>
  <c r="B80" i="2"/>
  <c r="J82" i="2" l="1"/>
  <c r="I83" i="2"/>
  <c r="A82" i="2"/>
  <c r="B81" i="2"/>
  <c r="J83" i="2" l="1"/>
  <c r="I84" i="2"/>
  <c r="B82" i="2"/>
  <c r="A83" i="2"/>
  <c r="J84" i="2" l="1"/>
  <c r="I85" i="2"/>
  <c r="A84" i="2"/>
  <c r="B83" i="2"/>
  <c r="J85" i="2" l="1"/>
  <c r="I86" i="2"/>
  <c r="A85" i="2"/>
  <c r="B84" i="2"/>
  <c r="J86" i="2" l="1"/>
  <c r="I87" i="2"/>
  <c r="B85" i="2"/>
  <c r="A86" i="2"/>
  <c r="J87" i="2" l="1"/>
  <c r="I88" i="2"/>
  <c r="A87" i="2"/>
  <c r="B86" i="2"/>
  <c r="J88" i="2" l="1"/>
  <c r="I89" i="2"/>
  <c r="A88" i="2"/>
  <c r="B87" i="2"/>
  <c r="J89" i="2" l="1"/>
  <c r="I90" i="2"/>
  <c r="B88" i="2"/>
  <c r="A89" i="2"/>
  <c r="J90" i="2" l="1"/>
  <c r="I91" i="2"/>
  <c r="B89" i="2"/>
  <c r="A90" i="2"/>
  <c r="J91" i="2" l="1"/>
  <c r="I92" i="2"/>
  <c r="A91" i="2"/>
  <c r="B90" i="2"/>
  <c r="J92" i="2" l="1"/>
  <c r="I93" i="2"/>
  <c r="B91" i="2"/>
  <c r="A92" i="2"/>
  <c r="J93" i="2" l="1"/>
  <c r="I94" i="2"/>
  <c r="B92" i="2"/>
  <c r="A93" i="2"/>
  <c r="J94" i="2" l="1"/>
  <c r="I95" i="2"/>
  <c r="B93" i="2"/>
  <c r="A94" i="2"/>
  <c r="J95" i="2" l="1"/>
  <c r="I96" i="2"/>
  <c r="B94" i="2"/>
  <c r="A95" i="2"/>
  <c r="J96" i="2" l="1"/>
  <c r="I97" i="2"/>
  <c r="B95" i="2"/>
  <c r="A96" i="2"/>
  <c r="J97" i="2" l="1"/>
  <c r="I98" i="2"/>
  <c r="A97" i="2"/>
  <c r="B96" i="2"/>
  <c r="J98" i="2" l="1"/>
  <c r="I99" i="2"/>
  <c r="A98" i="2"/>
  <c r="B97" i="2"/>
  <c r="J99" i="2" l="1"/>
  <c r="I100" i="2"/>
  <c r="B98" i="2"/>
  <c r="A99" i="2"/>
  <c r="J100" i="2" l="1"/>
  <c r="I101" i="2"/>
  <c r="A100" i="2"/>
  <c r="B99" i="2"/>
  <c r="J101" i="2" l="1"/>
  <c r="I102" i="2"/>
  <c r="B100" i="2"/>
  <c r="A101" i="2"/>
  <c r="J102" i="2" l="1"/>
  <c r="I103" i="2"/>
  <c r="A102" i="2"/>
  <c r="B101" i="2"/>
  <c r="J103" i="2" l="1"/>
  <c r="I104" i="2"/>
  <c r="B102" i="2"/>
  <c r="A103" i="2"/>
  <c r="J104" i="2" l="1"/>
  <c r="I105" i="2"/>
  <c r="B103" i="2"/>
  <c r="A104" i="2"/>
  <c r="J105" i="2" l="1"/>
  <c r="I106" i="2"/>
  <c r="A105" i="2"/>
  <c r="B104" i="2"/>
  <c r="J106" i="2" l="1"/>
  <c r="I107" i="2"/>
  <c r="A106" i="2"/>
  <c r="B105" i="2"/>
  <c r="J107" i="2" l="1"/>
  <c r="I108" i="2"/>
  <c r="A107" i="2"/>
  <c r="B106" i="2"/>
  <c r="J108" i="2" l="1"/>
  <c r="I109" i="2"/>
  <c r="A108" i="2"/>
  <c r="B107" i="2"/>
  <c r="J109" i="2" l="1"/>
  <c r="I110" i="2"/>
  <c r="A109" i="2"/>
  <c r="B108" i="2"/>
  <c r="J110" i="2" l="1"/>
  <c r="I111" i="2"/>
  <c r="B109" i="2"/>
  <c r="A110" i="2"/>
  <c r="J111" i="2" l="1"/>
  <c r="I112" i="2"/>
  <c r="B110" i="2"/>
  <c r="A111" i="2"/>
  <c r="J112" i="2" l="1"/>
  <c r="I113" i="2"/>
  <c r="A112" i="2"/>
  <c r="B111" i="2"/>
  <c r="J113" i="2" l="1"/>
  <c r="I114" i="2"/>
  <c r="A113" i="2"/>
  <c r="B112" i="2"/>
  <c r="J114" i="2" l="1"/>
  <c r="I115" i="2"/>
  <c r="A114" i="2"/>
  <c r="B113" i="2"/>
  <c r="J115" i="2" l="1"/>
  <c r="I116" i="2"/>
  <c r="B114" i="2"/>
  <c r="A115" i="2"/>
  <c r="J116" i="2" l="1"/>
  <c r="I117" i="2"/>
  <c r="B115" i="2"/>
  <c r="A116" i="2"/>
  <c r="J117" i="2" l="1"/>
  <c r="I118" i="2"/>
  <c r="A117" i="2"/>
  <c r="B116" i="2"/>
  <c r="J118" i="2" l="1"/>
  <c r="I119" i="2"/>
  <c r="A118" i="2"/>
  <c r="B117" i="2"/>
  <c r="J119" i="2" l="1"/>
  <c r="I120" i="2"/>
  <c r="B118" i="2"/>
  <c r="A119" i="2"/>
  <c r="J120" i="2" l="1"/>
  <c r="I121" i="2"/>
  <c r="A120" i="2"/>
  <c r="B119" i="2"/>
  <c r="J121" i="2" l="1"/>
  <c r="I122" i="2"/>
  <c r="A121" i="2"/>
  <c r="B120" i="2"/>
  <c r="J122" i="2" l="1"/>
  <c r="I123" i="2"/>
  <c r="A122" i="2"/>
  <c r="B121" i="2"/>
  <c r="J123" i="2" l="1"/>
  <c r="I124" i="2"/>
  <c r="A123" i="2"/>
  <c r="B122" i="2"/>
  <c r="J124" i="2" l="1"/>
  <c r="I125" i="2"/>
  <c r="B123" i="2"/>
  <c r="A124" i="2"/>
  <c r="J125" i="2" l="1"/>
  <c r="I126" i="2"/>
  <c r="B124" i="2"/>
  <c r="A125" i="2"/>
  <c r="J126" i="2" l="1"/>
  <c r="I127" i="2"/>
  <c r="B125" i="2"/>
  <c r="A126" i="2"/>
  <c r="J127" i="2" l="1"/>
  <c r="I128" i="2"/>
  <c r="B126" i="2"/>
  <c r="A127" i="2"/>
  <c r="J128" i="2" l="1"/>
  <c r="I129" i="2"/>
  <c r="B127" i="2"/>
  <c r="A128" i="2"/>
  <c r="J129" i="2" l="1"/>
  <c r="I130" i="2"/>
  <c r="A129" i="2"/>
  <c r="B128" i="2"/>
  <c r="J130" i="2" l="1"/>
  <c r="I131" i="2"/>
  <c r="A130" i="2"/>
  <c r="B129" i="2"/>
  <c r="J131" i="2" l="1"/>
  <c r="I132" i="2"/>
  <c r="A131" i="2"/>
  <c r="B130" i="2"/>
  <c r="J132" i="2" l="1"/>
  <c r="I133" i="2"/>
  <c r="B131" i="2"/>
  <c r="A132" i="2"/>
  <c r="J133" i="2" l="1"/>
  <c r="I134" i="2"/>
  <c r="A133" i="2"/>
  <c r="B132" i="2"/>
  <c r="J134" i="2" l="1"/>
  <c r="I135" i="2"/>
  <c r="B133" i="2"/>
  <c r="A134" i="2"/>
  <c r="J135" i="2" l="1"/>
  <c r="I136" i="2"/>
  <c r="B134" i="2"/>
  <c r="A135" i="2"/>
  <c r="J136" i="2" l="1"/>
  <c r="I137" i="2"/>
  <c r="B135" i="2"/>
  <c r="A136" i="2"/>
  <c r="J137" i="2" l="1"/>
  <c r="I138" i="2"/>
  <c r="B136" i="2"/>
  <c r="A137" i="2"/>
  <c r="J138" i="2" l="1"/>
  <c r="I139" i="2"/>
  <c r="A138" i="2"/>
  <c r="B137" i="2"/>
  <c r="J139" i="2" l="1"/>
  <c r="I140" i="2"/>
  <c r="A139" i="2"/>
  <c r="B138" i="2"/>
  <c r="J140" i="2" l="1"/>
  <c r="I141" i="2"/>
  <c r="B139" i="2"/>
  <c r="A140" i="2"/>
  <c r="J141" i="2" l="1"/>
  <c r="I142" i="2"/>
  <c r="B140" i="2"/>
  <c r="A141" i="2"/>
  <c r="J142" i="2" l="1"/>
  <c r="I143" i="2"/>
  <c r="B141" i="2"/>
  <c r="A142" i="2"/>
  <c r="J143" i="2" l="1"/>
  <c r="I144" i="2"/>
  <c r="A143" i="2"/>
  <c r="B142" i="2"/>
  <c r="J144" i="2" l="1"/>
  <c r="I145" i="2"/>
  <c r="B143" i="2"/>
  <c r="A144" i="2"/>
  <c r="J145" i="2" l="1"/>
  <c r="I146" i="2"/>
  <c r="A145" i="2"/>
  <c r="B144" i="2"/>
  <c r="J146" i="2" l="1"/>
  <c r="I147" i="2"/>
  <c r="A146" i="2"/>
  <c r="B145" i="2"/>
  <c r="J147" i="2" l="1"/>
  <c r="I148" i="2"/>
  <c r="A147" i="2"/>
  <c r="B146" i="2"/>
  <c r="J148" i="2" l="1"/>
  <c r="I149" i="2"/>
  <c r="B147" i="2"/>
  <c r="A148" i="2"/>
  <c r="J149" i="2" l="1"/>
  <c r="I150" i="2"/>
  <c r="B148" i="2"/>
  <c r="A149" i="2"/>
  <c r="J150" i="2" l="1"/>
  <c r="I151" i="2"/>
  <c r="B149" i="2"/>
  <c r="A150" i="2"/>
  <c r="J151" i="2" l="1"/>
  <c r="I152" i="2"/>
  <c r="B150" i="2"/>
  <c r="A151" i="2"/>
  <c r="J152" i="2" l="1"/>
  <c r="I153" i="2"/>
  <c r="B151" i="2"/>
  <c r="A152" i="2"/>
  <c r="J153" i="2" l="1"/>
  <c r="I154" i="2"/>
  <c r="A153" i="2"/>
  <c r="B152" i="2"/>
  <c r="J154" i="2" l="1"/>
  <c r="I155" i="2"/>
  <c r="A154" i="2"/>
  <c r="B153" i="2"/>
  <c r="J155" i="2" l="1"/>
  <c r="I156" i="2"/>
  <c r="A155" i="2"/>
  <c r="B154" i="2"/>
  <c r="J156" i="2" l="1"/>
  <c r="I157" i="2"/>
  <c r="B155" i="2"/>
  <c r="A156" i="2"/>
  <c r="J157" i="2" l="1"/>
  <c r="I158" i="2"/>
  <c r="B156" i="2"/>
  <c r="A157" i="2"/>
  <c r="J158" i="2" l="1"/>
  <c r="I159" i="2"/>
  <c r="B157" i="2"/>
  <c r="A158" i="2"/>
  <c r="J159" i="2" l="1"/>
  <c r="I160" i="2"/>
  <c r="B158" i="2"/>
  <c r="A159" i="2"/>
  <c r="J160" i="2" l="1"/>
  <c r="I161" i="2"/>
  <c r="B159" i="2"/>
  <c r="A160" i="2"/>
  <c r="J161" i="2" l="1"/>
  <c r="I162" i="2"/>
  <c r="A161" i="2"/>
  <c r="B160" i="2"/>
  <c r="J162" i="2" l="1"/>
  <c r="I163" i="2"/>
  <c r="A162" i="2"/>
  <c r="B161" i="2"/>
  <c r="J163" i="2" l="1"/>
  <c r="I164" i="2"/>
  <c r="A163" i="2"/>
  <c r="B162" i="2"/>
  <c r="J164" i="2" l="1"/>
  <c r="I165" i="2"/>
  <c r="B163" i="2"/>
  <c r="A164" i="2"/>
  <c r="J165" i="2" l="1"/>
  <c r="I166" i="2"/>
  <c r="B164" i="2"/>
  <c r="A165" i="2"/>
  <c r="J166" i="2" l="1"/>
  <c r="I167" i="2"/>
  <c r="B165" i="2"/>
  <c r="A166" i="2"/>
  <c r="J167" i="2" l="1"/>
  <c r="I168" i="2"/>
  <c r="B166" i="2"/>
  <c r="A167" i="2"/>
  <c r="J168" i="2" l="1"/>
  <c r="I169" i="2"/>
  <c r="B167" i="2"/>
  <c r="A168" i="2"/>
  <c r="J169" i="2" l="1"/>
  <c r="I170" i="2"/>
  <c r="A169" i="2"/>
  <c r="B168" i="2"/>
  <c r="J170" i="2" l="1"/>
  <c r="I171" i="2"/>
  <c r="A170" i="2"/>
  <c r="B169" i="2"/>
  <c r="J171" i="2" l="1"/>
  <c r="I172" i="2"/>
  <c r="A171" i="2"/>
  <c r="B170" i="2"/>
  <c r="J172" i="2" l="1"/>
  <c r="I173" i="2"/>
  <c r="B171" i="2"/>
  <c r="A172" i="2"/>
  <c r="J173" i="2" l="1"/>
  <c r="I174" i="2"/>
  <c r="B172" i="2"/>
  <c r="A173" i="2"/>
  <c r="J174" i="2" l="1"/>
  <c r="I175" i="2"/>
  <c r="B173" i="2"/>
  <c r="A174" i="2"/>
  <c r="J175" i="2" l="1"/>
  <c r="I176" i="2"/>
  <c r="B174" i="2"/>
  <c r="A175" i="2"/>
  <c r="J176" i="2" l="1"/>
  <c r="I177" i="2"/>
  <c r="B175" i="2"/>
  <c r="A176" i="2"/>
  <c r="J177" i="2" l="1"/>
  <c r="I178" i="2"/>
  <c r="A177" i="2"/>
  <c r="B176" i="2"/>
  <c r="J178" i="2" l="1"/>
  <c r="I179" i="2"/>
  <c r="A178" i="2"/>
  <c r="B177" i="2"/>
  <c r="J179" i="2" l="1"/>
  <c r="I180" i="2"/>
  <c r="A179" i="2"/>
  <c r="B178" i="2"/>
  <c r="J180" i="2" l="1"/>
  <c r="I181" i="2"/>
  <c r="B179" i="2"/>
  <c r="A180" i="2"/>
  <c r="J181" i="2" l="1"/>
  <c r="I182" i="2"/>
  <c r="B180" i="2"/>
  <c r="A181" i="2"/>
  <c r="J182" i="2" l="1"/>
  <c r="I183" i="2"/>
  <c r="A182" i="2"/>
  <c r="B181" i="2"/>
  <c r="J183" i="2" l="1"/>
  <c r="I184" i="2"/>
  <c r="B182" i="2"/>
  <c r="A183" i="2"/>
  <c r="J184" i="2" l="1"/>
  <c r="I185" i="2"/>
  <c r="A184" i="2"/>
  <c r="B183" i="2"/>
  <c r="J185" i="2" l="1"/>
  <c r="I186" i="2"/>
  <c r="A185" i="2"/>
  <c r="B184" i="2"/>
  <c r="J186" i="2" l="1"/>
  <c r="I187" i="2"/>
  <c r="A186" i="2"/>
  <c r="B185" i="2"/>
  <c r="J187" i="2" l="1"/>
  <c r="I188" i="2"/>
  <c r="B186" i="2"/>
  <c r="A187" i="2"/>
  <c r="J188" i="2" l="1"/>
  <c r="I189" i="2"/>
  <c r="B187" i="2"/>
  <c r="A188" i="2"/>
  <c r="J189" i="2" l="1"/>
  <c r="I190" i="2"/>
  <c r="A189" i="2"/>
  <c r="B188" i="2"/>
  <c r="J190" i="2" l="1"/>
  <c r="I191" i="2"/>
  <c r="B189" i="2"/>
  <c r="A190" i="2"/>
  <c r="J191" i="2" l="1"/>
  <c r="I192" i="2"/>
  <c r="B190" i="2"/>
  <c r="A191" i="2"/>
  <c r="J192" i="2" l="1"/>
  <c r="I193" i="2"/>
  <c r="A192" i="2"/>
  <c r="B191" i="2"/>
  <c r="J193" i="2" l="1"/>
  <c r="I194" i="2"/>
  <c r="A193" i="2"/>
  <c r="B192" i="2"/>
  <c r="J194" i="2" l="1"/>
  <c r="I195" i="2"/>
  <c r="A194" i="2"/>
  <c r="B193" i="2"/>
  <c r="J195" i="2" l="1"/>
  <c r="I196" i="2"/>
  <c r="A195" i="2"/>
  <c r="B194" i="2"/>
  <c r="J196" i="2" l="1"/>
  <c r="I197" i="2"/>
  <c r="B195" i="2"/>
  <c r="A196" i="2"/>
  <c r="J197" i="2" l="1"/>
  <c r="I198" i="2"/>
  <c r="B196" i="2"/>
  <c r="A197" i="2"/>
  <c r="J198" i="2" l="1"/>
  <c r="I199" i="2"/>
  <c r="B197" i="2"/>
  <c r="A198" i="2"/>
  <c r="J199" i="2" l="1"/>
  <c r="I200" i="2"/>
  <c r="A199" i="2"/>
  <c r="B198" i="2"/>
  <c r="J200" i="2" l="1"/>
  <c r="I201" i="2"/>
  <c r="B199" i="2"/>
  <c r="A200" i="2"/>
  <c r="J201" i="2" l="1"/>
  <c r="I202" i="2"/>
  <c r="A201" i="2"/>
  <c r="B200" i="2"/>
  <c r="J202" i="2" l="1"/>
  <c r="I203" i="2"/>
  <c r="B201" i="2"/>
  <c r="A202" i="2"/>
  <c r="J203" i="2" l="1"/>
  <c r="I204" i="2"/>
  <c r="B202" i="2"/>
  <c r="A203" i="2"/>
  <c r="J204" i="2" l="1"/>
  <c r="I205" i="2"/>
  <c r="B203" i="2"/>
  <c r="A204" i="2"/>
  <c r="J205" i="2" l="1"/>
  <c r="I206" i="2"/>
  <c r="B204" i="2"/>
  <c r="A205" i="2"/>
  <c r="J206" i="2" l="1"/>
  <c r="I207" i="2"/>
  <c r="B205" i="2"/>
  <c r="A206" i="2"/>
  <c r="J207" i="2" l="1"/>
  <c r="I208" i="2"/>
  <c r="B206" i="2"/>
  <c r="A207" i="2"/>
  <c r="J208" i="2" l="1"/>
  <c r="I209" i="2"/>
  <c r="B207" i="2"/>
  <c r="A208" i="2"/>
  <c r="J209" i="2" l="1"/>
  <c r="I210" i="2"/>
  <c r="A209" i="2"/>
  <c r="B208" i="2"/>
  <c r="J210" i="2" l="1"/>
  <c r="I211" i="2"/>
  <c r="A210" i="2"/>
  <c r="B209" i="2"/>
  <c r="J211" i="2" l="1"/>
  <c r="I212" i="2"/>
  <c r="A211" i="2"/>
  <c r="B210" i="2"/>
  <c r="J212" i="2" l="1"/>
  <c r="I213" i="2"/>
  <c r="B211" i="2"/>
  <c r="A212" i="2"/>
  <c r="J213" i="2" l="1"/>
  <c r="I214" i="2"/>
  <c r="B212" i="2"/>
  <c r="A213" i="2"/>
  <c r="J214" i="2" l="1"/>
  <c r="I215" i="2"/>
  <c r="B213" i="2"/>
  <c r="A214" i="2"/>
  <c r="J215" i="2" l="1"/>
  <c r="I216" i="2"/>
  <c r="B214" i="2"/>
  <c r="A215" i="2"/>
  <c r="J216" i="2" l="1"/>
  <c r="I217" i="2"/>
  <c r="B215" i="2"/>
  <c r="A216" i="2"/>
  <c r="J217" i="2" l="1"/>
  <c r="I218" i="2"/>
  <c r="A217" i="2"/>
  <c r="B216" i="2"/>
  <c r="J218" i="2" l="1"/>
  <c r="I219" i="2"/>
  <c r="A218" i="2"/>
  <c r="B217" i="2"/>
  <c r="J219" i="2" l="1"/>
  <c r="I220" i="2"/>
  <c r="A219" i="2"/>
  <c r="B218" i="2"/>
  <c r="J220" i="2" l="1"/>
  <c r="I221" i="2"/>
  <c r="B219" i="2"/>
  <c r="A220" i="2"/>
  <c r="J221" i="2" l="1"/>
  <c r="I222" i="2"/>
  <c r="B220" i="2"/>
  <c r="A221" i="2"/>
  <c r="J222" i="2" l="1"/>
  <c r="I223" i="2"/>
  <c r="A222" i="2"/>
  <c r="B221" i="2"/>
  <c r="J223" i="2" l="1"/>
  <c r="I224" i="2"/>
  <c r="B222" i="2"/>
  <c r="A223" i="2"/>
  <c r="J224" i="2" l="1"/>
  <c r="I225" i="2"/>
  <c r="B223" i="2"/>
  <c r="A224" i="2"/>
  <c r="J225" i="2" l="1"/>
  <c r="I226" i="2"/>
  <c r="A225" i="2"/>
  <c r="B224" i="2"/>
  <c r="J226" i="2" l="1"/>
  <c r="I227" i="2"/>
  <c r="A226" i="2"/>
  <c r="B225" i="2"/>
  <c r="J227" i="2" l="1"/>
  <c r="I228" i="2"/>
  <c r="A227" i="2"/>
  <c r="B226" i="2"/>
  <c r="J228" i="2" l="1"/>
  <c r="I229" i="2"/>
  <c r="B227" i="2"/>
  <c r="A228" i="2"/>
  <c r="J229" i="2" l="1"/>
  <c r="I230" i="2"/>
  <c r="B228" i="2"/>
  <c r="A229" i="2"/>
  <c r="J230" i="2" l="1"/>
  <c r="I231" i="2"/>
  <c r="B229" i="2"/>
  <c r="A230" i="2"/>
  <c r="J231" i="2" l="1"/>
  <c r="I232" i="2"/>
  <c r="B230" i="2"/>
  <c r="A231" i="2"/>
  <c r="J232" i="2" l="1"/>
  <c r="I233" i="2"/>
  <c r="B231" i="2"/>
  <c r="A232" i="2"/>
  <c r="J233" i="2" l="1"/>
  <c r="I234" i="2"/>
  <c r="A233" i="2"/>
  <c r="B232" i="2"/>
  <c r="J234" i="2" l="1"/>
  <c r="I235" i="2"/>
  <c r="A234" i="2"/>
  <c r="B233" i="2"/>
  <c r="J235" i="2" l="1"/>
  <c r="I236" i="2"/>
  <c r="A235" i="2"/>
  <c r="B234" i="2"/>
  <c r="J236" i="2" l="1"/>
  <c r="I237" i="2"/>
  <c r="B235" i="2"/>
  <c r="A236" i="2"/>
  <c r="J237" i="2" l="1"/>
  <c r="I238" i="2"/>
  <c r="A237" i="2"/>
  <c r="B236" i="2"/>
  <c r="J238" i="2" l="1"/>
  <c r="I239" i="2"/>
  <c r="A238" i="2"/>
  <c r="B237" i="2"/>
  <c r="J239" i="2" l="1"/>
  <c r="I240" i="2"/>
  <c r="A239" i="2"/>
  <c r="B238" i="2"/>
  <c r="J240" i="2" l="1"/>
  <c r="I241" i="2"/>
  <c r="A240" i="2"/>
  <c r="B239" i="2"/>
  <c r="J241" i="2" l="1"/>
  <c r="I242" i="2"/>
  <c r="A241" i="2"/>
  <c r="B240" i="2"/>
  <c r="J242" i="2" l="1"/>
  <c r="I243" i="2"/>
  <c r="B241" i="2"/>
  <c r="A242" i="2"/>
  <c r="J243" i="2" l="1"/>
  <c r="I244" i="2"/>
  <c r="A243" i="2"/>
  <c r="B242" i="2"/>
  <c r="J244" i="2" l="1"/>
  <c r="I245" i="2"/>
  <c r="A244" i="2"/>
  <c r="B243" i="2"/>
  <c r="J245" i="2" l="1"/>
  <c r="I246" i="2"/>
  <c r="B244" i="2"/>
  <c r="A245" i="2"/>
  <c r="J246" i="2" l="1"/>
  <c r="I247" i="2"/>
  <c r="B245" i="2"/>
  <c r="A246" i="2"/>
  <c r="J247" i="2" l="1"/>
  <c r="I248" i="2"/>
  <c r="B246" i="2"/>
  <c r="A247" i="2"/>
  <c r="J248" i="2" l="1"/>
  <c r="I249" i="2"/>
  <c r="B247" i="2"/>
  <c r="A248" i="2"/>
  <c r="J249" i="2" l="1"/>
  <c r="I250" i="2"/>
  <c r="A249" i="2"/>
  <c r="B248" i="2"/>
  <c r="J250" i="2" l="1"/>
  <c r="I251" i="2"/>
  <c r="A250" i="2"/>
  <c r="B249" i="2"/>
  <c r="J251" i="2" l="1"/>
  <c r="I252" i="2"/>
  <c r="A251" i="2"/>
  <c r="B250" i="2"/>
  <c r="J252" i="2" l="1"/>
  <c r="I253" i="2"/>
  <c r="B251" i="2"/>
  <c r="A252" i="2"/>
  <c r="J253" i="2" l="1"/>
  <c r="I254" i="2"/>
  <c r="B252" i="2"/>
  <c r="A253" i="2"/>
  <c r="J254" i="2" l="1"/>
  <c r="I255" i="2"/>
  <c r="A254" i="2"/>
  <c r="B253" i="2"/>
  <c r="J255" i="2" l="1"/>
  <c r="I256" i="2"/>
  <c r="B254" i="2"/>
  <c r="A255" i="2"/>
  <c r="J256" i="2" l="1"/>
  <c r="I257" i="2"/>
  <c r="A256" i="2"/>
  <c r="B255" i="2"/>
  <c r="J257" i="2" l="1"/>
  <c r="I258" i="2"/>
  <c r="B256" i="2"/>
  <c r="A257" i="2"/>
  <c r="J258" i="2" l="1"/>
  <c r="I259" i="2"/>
  <c r="B257" i="2"/>
  <c r="A258" i="2"/>
  <c r="J259" i="2" l="1"/>
  <c r="I260" i="2"/>
  <c r="B258" i="2"/>
  <c r="A259" i="2"/>
  <c r="J260" i="2" l="1"/>
  <c r="I261" i="2"/>
  <c r="A260" i="2"/>
  <c r="B259" i="2"/>
  <c r="J261" i="2" l="1"/>
  <c r="I262" i="2"/>
  <c r="B260" i="2"/>
  <c r="A261" i="2"/>
  <c r="J262" i="2" l="1"/>
  <c r="I263" i="2"/>
  <c r="B261" i="2"/>
  <c r="A262" i="2"/>
  <c r="J263" i="2" l="1"/>
  <c r="I264" i="2"/>
  <c r="A263" i="2"/>
  <c r="B262" i="2"/>
  <c r="J264" i="2" l="1"/>
  <c r="I265" i="2"/>
  <c r="A264" i="2"/>
  <c r="B263" i="2"/>
  <c r="J265" i="2" l="1"/>
  <c r="I266" i="2"/>
  <c r="A265" i="2"/>
  <c r="B264" i="2"/>
  <c r="J266" i="2" l="1"/>
  <c r="I267" i="2"/>
  <c r="A266" i="2"/>
  <c r="B265" i="2"/>
  <c r="J267" i="2" l="1"/>
  <c r="I268" i="2"/>
  <c r="A267" i="2"/>
  <c r="B266" i="2"/>
  <c r="J268" i="2" l="1"/>
  <c r="I269" i="2"/>
  <c r="B267" i="2"/>
  <c r="A268" i="2"/>
  <c r="J269" i="2" l="1"/>
  <c r="I270" i="2"/>
  <c r="B268" i="2"/>
  <c r="A269" i="2"/>
  <c r="J270" i="2" l="1"/>
  <c r="I271" i="2"/>
  <c r="B269" i="2"/>
  <c r="A270" i="2"/>
  <c r="J271" i="2" l="1"/>
  <c r="I272" i="2"/>
  <c r="B270" i="2"/>
  <c r="A271" i="2"/>
  <c r="J272" i="2" l="1"/>
  <c r="I273" i="2"/>
  <c r="B271" i="2"/>
  <c r="A272" i="2"/>
  <c r="J273" i="2" l="1"/>
  <c r="I274" i="2"/>
  <c r="A273" i="2"/>
  <c r="B272" i="2"/>
  <c r="J274" i="2" l="1"/>
  <c r="I275" i="2"/>
  <c r="A274" i="2"/>
  <c r="B273" i="2"/>
  <c r="J275" i="2" l="1"/>
  <c r="I276" i="2"/>
  <c r="A275" i="2"/>
  <c r="B274" i="2"/>
  <c r="J276" i="2" l="1"/>
  <c r="I277" i="2"/>
  <c r="B275" i="2"/>
  <c r="A276" i="2"/>
  <c r="J277" i="2" l="1"/>
  <c r="I278" i="2"/>
  <c r="B276" i="2"/>
  <c r="A277" i="2"/>
  <c r="J278" i="2" l="1"/>
  <c r="I279" i="2"/>
  <c r="A278" i="2"/>
  <c r="B277" i="2"/>
  <c r="J279" i="2" l="1"/>
  <c r="I280" i="2"/>
  <c r="B278" i="2"/>
  <c r="A279" i="2"/>
  <c r="J280" i="2" l="1"/>
  <c r="I281" i="2"/>
  <c r="B279" i="2"/>
  <c r="A280" i="2"/>
  <c r="J281" i="2" l="1"/>
  <c r="I282" i="2"/>
  <c r="A281" i="2"/>
  <c r="B280" i="2"/>
  <c r="J282" i="2" l="1"/>
  <c r="I283" i="2"/>
  <c r="A282" i="2"/>
  <c r="B281" i="2"/>
  <c r="J283" i="2" l="1"/>
  <c r="I284" i="2"/>
  <c r="A283" i="2"/>
  <c r="B282" i="2"/>
  <c r="J284" i="2" l="1"/>
  <c r="I285" i="2"/>
  <c r="B283" i="2"/>
  <c r="A284" i="2"/>
  <c r="J285" i="2" l="1"/>
  <c r="I286" i="2"/>
  <c r="B284" i="2"/>
  <c r="A285" i="2"/>
  <c r="J286" i="2" l="1"/>
  <c r="I287" i="2"/>
  <c r="B285" i="2"/>
  <c r="A286" i="2"/>
  <c r="J287" i="2" l="1"/>
  <c r="I288" i="2"/>
  <c r="B286" i="2"/>
  <c r="A287" i="2"/>
  <c r="J288" i="2" l="1"/>
  <c r="I289" i="2"/>
  <c r="B287" i="2"/>
  <c r="A288" i="2"/>
  <c r="J289" i="2" l="1"/>
  <c r="I290" i="2"/>
  <c r="A289" i="2"/>
  <c r="B288" i="2"/>
  <c r="J290" i="2" l="1"/>
  <c r="I291" i="2"/>
  <c r="B289" i="2"/>
  <c r="A290" i="2"/>
  <c r="J291" i="2" l="1"/>
  <c r="I292" i="2"/>
  <c r="B290" i="2"/>
  <c r="A291" i="2"/>
  <c r="J292" i="2" l="1"/>
  <c r="I293" i="2"/>
  <c r="B291" i="2"/>
  <c r="A292" i="2"/>
  <c r="J293" i="2" l="1"/>
  <c r="I294" i="2"/>
  <c r="A293" i="2"/>
  <c r="B292" i="2"/>
  <c r="J294" i="2" l="1"/>
  <c r="I295" i="2"/>
  <c r="B293" i="2"/>
  <c r="A294" i="2"/>
  <c r="J295" i="2" l="1"/>
  <c r="I296" i="2"/>
  <c r="B294" i="2"/>
  <c r="A295" i="2"/>
  <c r="J296" i="2" l="1"/>
  <c r="I297" i="2"/>
  <c r="B295" i="2"/>
  <c r="A296" i="2"/>
  <c r="J297" i="2" l="1"/>
  <c r="I298" i="2"/>
  <c r="A297" i="2"/>
  <c r="B296" i="2"/>
  <c r="J298" i="2" l="1"/>
  <c r="I299" i="2"/>
  <c r="A298" i="2"/>
  <c r="B297" i="2"/>
  <c r="J299" i="2" l="1"/>
  <c r="I300" i="2"/>
  <c r="A299" i="2"/>
  <c r="B298" i="2"/>
  <c r="J300" i="2" l="1"/>
  <c r="I301" i="2"/>
  <c r="B299" i="2"/>
  <c r="A300" i="2"/>
  <c r="J301" i="2" l="1"/>
  <c r="I302" i="2"/>
  <c r="B300" i="2"/>
  <c r="A301" i="2"/>
  <c r="J302" i="2" l="1"/>
  <c r="I303" i="2"/>
  <c r="B301" i="2"/>
  <c r="A302" i="2"/>
  <c r="J303" i="2" l="1"/>
  <c r="I304" i="2"/>
  <c r="A303" i="2"/>
  <c r="B302" i="2"/>
  <c r="J304" i="2" l="1"/>
  <c r="I305" i="2"/>
  <c r="B303" i="2"/>
  <c r="A304" i="2"/>
  <c r="J305" i="2" l="1"/>
  <c r="I306" i="2"/>
  <c r="A305" i="2"/>
  <c r="B304" i="2"/>
  <c r="J306" i="2" l="1"/>
  <c r="I307" i="2"/>
  <c r="A306" i="2"/>
  <c r="B305" i="2"/>
  <c r="J307" i="2" l="1"/>
  <c r="I308" i="2"/>
  <c r="A307" i="2"/>
  <c r="B306" i="2"/>
  <c r="J308" i="2" l="1"/>
  <c r="I309" i="2"/>
  <c r="B307" i="2"/>
  <c r="A308" i="2"/>
  <c r="J309" i="2" l="1"/>
  <c r="I310" i="2"/>
  <c r="A309" i="2"/>
  <c r="B308" i="2"/>
  <c r="J310" i="2" l="1"/>
  <c r="I311" i="2"/>
  <c r="B309" i="2"/>
  <c r="A310" i="2"/>
  <c r="J311" i="2" l="1"/>
  <c r="I312" i="2"/>
  <c r="B310" i="2"/>
  <c r="A311" i="2"/>
  <c r="J312" i="2" l="1"/>
  <c r="I313" i="2"/>
  <c r="B311" i="2"/>
  <c r="A312" i="2"/>
  <c r="J313" i="2" l="1"/>
  <c r="I314" i="2"/>
  <c r="A313" i="2"/>
  <c r="B312" i="2"/>
  <c r="J314" i="2" l="1"/>
  <c r="I315" i="2"/>
  <c r="A314" i="2"/>
  <c r="B313" i="2"/>
  <c r="J315" i="2" l="1"/>
  <c r="I316" i="2"/>
  <c r="A315" i="2"/>
  <c r="B314" i="2"/>
  <c r="J316" i="2" l="1"/>
  <c r="I317" i="2"/>
  <c r="B315" i="2"/>
  <c r="A316" i="2"/>
  <c r="J317" i="2" l="1"/>
  <c r="I318" i="2"/>
  <c r="B316" i="2"/>
  <c r="A317" i="2"/>
  <c r="J318" i="2" l="1"/>
  <c r="I319" i="2"/>
  <c r="B317" i="2"/>
  <c r="A318" i="2"/>
  <c r="J319" i="2" l="1"/>
  <c r="I320" i="2"/>
  <c r="B318" i="2"/>
  <c r="A319" i="2"/>
  <c r="J320" i="2" l="1"/>
  <c r="I321" i="2"/>
  <c r="B319" i="2"/>
  <c r="A320" i="2"/>
  <c r="J321" i="2" l="1"/>
  <c r="I322" i="2"/>
  <c r="A321" i="2"/>
  <c r="B320" i="2"/>
  <c r="J322" i="2" l="1"/>
  <c r="I323" i="2"/>
  <c r="A322" i="2"/>
  <c r="B321" i="2"/>
  <c r="J323" i="2" l="1"/>
  <c r="I324" i="2"/>
  <c r="A323" i="2"/>
  <c r="B322" i="2"/>
  <c r="J324" i="2" l="1"/>
  <c r="I325" i="2"/>
  <c r="B323" i="2"/>
  <c r="A324" i="2"/>
  <c r="J325" i="2" l="1"/>
  <c r="I326" i="2"/>
  <c r="B324" i="2"/>
  <c r="A325" i="2"/>
  <c r="J326" i="2" l="1"/>
  <c r="I327" i="2"/>
  <c r="B325" i="2"/>
  <c r="A326" i="2"/>
  <c r="J327" i="2" l="1"/>
  <c r="I328" i="2"/>
  <c r="B326" i="2"/>
  <c r="A327" i="2"/>
  <c r="J328" i="2" l="1"/>
  <c r="I329" i="2"/>
  <c r="B327" i="2"/>
  <c r="A328" i="2"/>
  <c r="J329" i="2" l="1"/>
  <c r="I330" i="2"/>
  <c r="A329" i="2"/>
  <c r="B328" i="2"/>
  <c r="J330" i="2" l="1"/>
  <c r="I331" i="2"/>
  <c r="A330" i="2"/>
  <c r="B329" i="2"/>
  <c r="J331" i="2" l="1"/>
  <c r="I332" i="2"/>
  <c r="A331" i="2"/>
  <c r="B330" i="2"/>
  <c r="J332" i="2" l="1"/>
  <c r="I333" i="2"/>
  <c r="B331" i="2"/>
  <c r="A332" i="2"/>
  <c r="J333" i="2" l="1"/>
  <c r="I334" i="2"/>
  <c r="A333" i="2"/>
  <c r="B332" i="2"/>
  <c r="J334" i="2" l="1"/>
  <c r="I335" i="2"/>
  <c r="B333" i="2"/>
  <c r="A334" i="2"/>
  <c r="J335" i="2" l="1"/>
  <c r="I336" i="2"/>
  <c r="B334" i="2"/>
  <c r="A335" i="2"/>
  <c r="J336" i="2" l="1"/>
  <c r="I337" i="2"/>
  <c r="B335" i="2"/>
  <c r="A336" i="2"/>
  <c r="J337" i="2" l="1"/>
  <c r="I338" i="2"/>
  <c r="A337" i="2"/>
  <c r="B336" i="2"/>
  <c r="J338" i="2" l="1"/>
  <c r="I339" i="2"/>
  <c r="A338" i="2"/>
  <c r="B337" i="2"/>
  <c r="J339" i="2" l="1"/>
  <c r="I340" i="2"/>
  <c r="A339" i="2"/>
  <c r="B338" i="2"/>
  <c r="J340" i="2" l="1"/>
  <c r="I341" i="2"/>
  <c r="B339" i="2"/>
  <c r="A340" i="2"/>
  <c r="J341" i="2" l="1"/>
  <c r="I342" i="2"/>
  <c r="B340" i="2"/>
  <c r="A341" i="2"/>
  <c r="J342" i="2" l="1"/>
  <c r="I343" i="2"/>
  <c r="B341" i="2"/>
  <c r="A342" i="2"/>
  <c r="J343" i="2" l="1"/>
  <c r="I344" i="2"/>
  <c r="B342" i="2"/>
  <c r="A343" i="2"/>
  <c r="J344" i="2" l="1"/>
  <c r="I345" i="2"/>
  <c r="A344" i="2"/>
  <c r="B343" i="2"/>
  <c r="J345" i="2" l="1"/>
  <c r="I346" i="2"/>
  <c r="A345" i="2"/>
  <c r="B344" i="2"/>
  <c r="J346" i="2" l="1"/>
  <c r="I347" i="2"/>
  <c r="B345" i="2"/>
  <c r="A346" i="2"/>
  <c r="J347" i="2" l="1"/>
  <c r="I348" i="2"/>
  <c r="A347" i="2"/>
  <c r="B346" i="2"/>
  <c r="J348" i="2" l="1"/>
  <c r="I349" i="2"/>
  <c r="B347" i="2"/>
  <c r="A348" i="2"/>
  <c r="J349" i="2" l="1"/>
  <c r="I350" i="2"/>
  <c r="B348" i="2"/>
  <c r="A349" i="2"/>
  <c r="J350" i="2" l="1"/>
  <c r="I351" i="2"/>
  <c r="B349" i="2"/>
  <c r="A350" i="2"/>
  <c r="J351" i="2" l="1"/>
  <c r="I352" i="2"/>
  <c r="B350" i="2"/>
  <c r="A351" i="2"/>
  <c r="J352" i="2" l="1"/>
  <c r="I353" i="2"/>
  <c r="B351" i="2"/>
  <c r="A352" i="2"/>
  <c r="J353" i="2" l="1"/>
  <c r="I354" i="2"/>
  <c r="A353" i="2"/>
  <c r="B352" i="2"/>
  <c r="J354" i="2" l="1"/>
  <c r="I355" i="2"/>
  <c r="A354" i="2"/>
  <c r="B353" i="2"/>
  <c r="J355" i="2" l="1"/>
  <c r="I356" i="2"/>
  <c r="B354" i="2"/>
  <c r="A355" i="2"/>
  <c r="J356" i="2" l="1"/>
  <c r="I357" i="2"/>
  <c r="B355" i="2"/>
  <c r="A356" i="2"/>
  <c r="J357" i="2" l="1"/>
  <c r="I358" i="2"/>
  <c r="B356" i="2"/>
  <c r="A357" i="2"/>
  <c r="J358" i="2" l="1"/>
  <c r="I359" i="2"/>
  <c r="B357" i="2"/>
  <c r="A358" i="2"/>
  <c r="J359" i="2" l="1"/>
  <c r="I360" i="2"/>
  <c r="B358" i="2"/>
  <c r="A359" i="2"/>
  <c r="J360" i="2" l="1"/>
  <c r="I361" i="2"/>
  <c r="B359" i="2"/>
  <c r="A360" i="2"/>
  <c r="J361" i="2" l="1"/>
  <c r="I362" i="2"/>
  <c r="B360" i="2"/>
  <c r="A361" i="2"/>
  <c r="J362" i="2" l="1"/>
  <c r="I363" i="2"/>
  <c r="A362" i="2"/>
  <c r="B361" i="2"/>
  <c r="J363" i="2" l="1"/>
  <c r="I364" i="2"/>
  <c r="A363" i="2"/>
  <c r="B362" i="2"/>
  <c r="J364" i="2" l="1"/>
  <c r="I365" i="2"/>
  <c r="B363" i="2"/>
  <c r="A364" i="2"/>
  <c r="J365" i="2" l="1"/>
  <c r="I366" i="2"/>
  <c r="B364" i="2"/>
  <c r="A365" i="2"/>
  <c r="J366" i="2" l="1"/>
  <c r="I367" i="2"/>
  <c r="A366" i="2"/>
  <c r="B365" i="2"/>
  <c r="J367" i="2" l="1"/>
  <c r="I368" i="2"/>
  <c r="B366" i="2"/>
  <c r="A367" i="2"/>
  <c r="J368" i="2" l="1"/>
  <c r="I369" i="2"/>
  <c r="A368" i="2"/>
  <c r="B367" i="2"/>
  <c r="J369" i="2" l="1"/>
  <c r="I370" i="2"/>
  <c r="A369" i="2"/>
  <c r="B368" i="2"/>
  <c r="J370" i="2" l="1"/>
  <c r="I371" i="2"/>
  <c r="A370" i="2"/>
  <c r="B369" i="2"/>
  <c r="J371" i="2" l="1"/>
  <c r="I372" i="2"/>
  <c r="A371" i="2"/>
  <c r="B370" i="2"/>
  <c r="J372" i="2" l="1"/>
  <c r="I373" i="2"/>
  <c r="B371" i="2"/>
  <c r="A372" i="2"/>
  <c r="J373" i="2" l="1"/>
  <c r="I374" i="2"/>
  <c r="B372" i="2"/>
  <c r="A373" i="2"/>
  <c r="J374" i="2" l="1"/>
  <c r="I375" i="2"/>
  <c r="A374" i="2"/>
  <c r="B373" i="2"/>
  <c r="J375" i="2" l="1"/>
  <c r="I376" i="2"/>
  <c r="B374" i="2"/>
  <c r="A375" i="2"/>
  <c r="J376" i="2" l="1"/>
  <c r="I377" i="2"/>
  <c r="B375" i="2"/>
  <c r="A376" i="2"/>
  <c r="J377" i="2" l="1"/>
  <c r="I378" i="2"/>
  <c r="A377" i="2"/>
  <c r="B376" i="2"/>
  <c r="J378" i="2" l="1"/>
  <c r="I379" i="2"/>
  <c r="A378" i="2"/>
  <c r="B377" i="2"/>
  <c r="J379" i="2" l="1"/>
  <c r="I380" i="2"/>
  <c r="A379" i="2"/>
  <c r="B378" i="2"/>
  <c r="J380" i="2" l="1"/>
  <c r="I381" i="2"/>
  <c r="B379" i="2"/>
  <c r="A380" i="2"/>
  <c r="J381" i="2" l="1"/>
  <c r="I382" i="2"/>
  <c r="B380" i="2"/>
  <c r="A381" i="2"/>
  <c r="J382" i="2" l="1"/>
  <c r="I383" i="2"/>
  <c r="A382" i="2"/>
  <c r="B381" i="2"/>
  <c r="J383" i="2" l="1"/>
  <c r="I384" i="2"/>
  <c r="B382" i="2"/>
  <c r="A383" i="2"/>
  <c r="J384" i="2" l="1"/>
  <c r="I385" i="2"/>
  <c r="A384" i="2"/>
  <c r="B383" i="2"/>
  <c r="J385" i="2" l="1"/>
  <c r="I386" i="2"/>
  <c r="A385" i="2"/>
  <c r="B384" i="2"/>
  <c r="J386" i="2" l="1"/>
  <c r="I387" i="2"/>
  <c r="B385" i="2"/>
  <c r="A386" i="2"/>
  <c r="J387" i="2" l="1"/>
  <c r="I388" i="2"/>
  <c r="A387" i="2"/>
  <c r="B386" i="2"/>
  <c r="J388" i="2" l="1"/>
  <c r="I389" i="2"/>
  <c r="A388" i="2"/>
  <c r="B387" i="2"/>
  <c r="J389" i="2" l="1"/>
  <c r="I390" i="2"/>
  <c r="B388" i="2"/>
  <c r="A389" i="2"/>
  <c r="J390" i="2" l="1"/>
  <c r="I391" i="2"/>
  <c r="B389" i="2"/>
  <c r="A390" i="2"/>
  <c r="J391" i="2" l="1"/>
  <c r="I392" i="2"/>
  <c r="A391" i="2"/>
  <c r="B390" i="2"/>
  <c r="J392" i="2" l="1"/>
  <c r="I393" i="2"/>
  <c r="B391" i="2"/>
  <c r="A392" i="2"/>
  <c r="J393" i="2" l="1"/>
  <c r="I394" i="2"/>
  <c r="B392" i="2"/>
  <c r="A393" i="2"/>
  <c r="J394" i="2" l="1"/>
  <c r="I395" i="2"/>
  <c r="A394" i="2"/>
  <c r="B393" i="2"/>
  <c r="J395" i="2" l="1"/>
  <c r="I396" i="2"/>
  <c r="A395" i="2"/>
  <c r="B394" i="2"/>
  <c r="J396" i="2" l="1"/>
  <c r="I397" i="2"/>
  <c r="B395" i="2"/>
  <c r="A396" i="2"/>
  <c r="J397" i="2" l="1"/>
  <c r="I398" i="2"/>
  <c r="B396" i="2"/>
  <c r="A397" i="2"/>
  <c r="J398" i="2" l="1"/>
  <c r="I399" i="2"/>
  <c r="B397" i="2"/>
  <c r="A398" i="2"/>
  <c r="J399" i="2" l="1"/>
  <c r="I400" i="2"/>
  <c r="B398" i="2"/>
  <c r="A399" i="2"/>
  <c r="J400" i="2" l="1"/>
  <c r="I401" i="2"/>
  <c r="B399" i="2"/>
  <c r="A400" i="2"/>
  <c r="J401" i="2" l="1"/>
  <c r="I402" i="2"/>
  <c r="A401" i="2"/>
  <c r="B400" i="2"/>
  <c r="J402" i="2" l="1"/>
  <c r="I403" i="2"/>
  <c r="A402" i="2"/>
  <c r="B401" i="2"/>
  <c r="J403" i="2" l="1"/>
  <c r="I404" i="2"/>
  <c r="A403" i="2"/>
  <c r="B402" i="2"/>
  <c r="J404" i="2" l="1"/>
  <c r="I405" i="2"/>
  <c r="A404" i="2"/>
  <c r="B403" i="2"/>
  <c r="J405" i="2" l="1"/>
  <c r="I406" i="2"/>
  <c r="B404" i="2"/>
  <c r="A405" i="2"/>
  <c r="J406" i="2" l="1"/>
  <c r="I407" i="2"/>
  <c r="B405" i="2"/>
  <c r="A406" i="2"/>
  <c r="J407" i="2" l="1"/>
  <c r="I408" i="2"/>
  <c r="B406" i="2"/>
  <c r="A407" i="2"/>
  <c r="J408" i="2" l="1"/>
  <c r="I409" i="2"/>
  <c r="B407" i="2"/>
  <c r="A408" i="2"/>
  <c r="J409" i="2" l="1"/>
  <c r="I410" i="2"/>
  <c r="A409" i="2"/>
  <c r="B408" i="2"/>
  <c r="J410" i="2" l="1"/>
  <c r="I411" i="2"/>
  <c r="B409" i="2"/>
  <c r="A410" i="2"/>
  <c r="J411" i="2" l="1"/>
  <c r="I412" i="2"/>
  <c r="A411" i="2"/>
  <c r="B410" i="2"/>
  <c r="J412" i="2" l="1"/>
  <c r="I413" i="2"/>
  <c r="B411" i="2"/>
  <c r="A412" i="2"/>
  <c r="J413" i="2" l="1"/>
  <c r="I414" i="2"/>
  <c r="B412" i="2"/>
  <c r="A413" i="2"/>
  <c r="J414" i="2" l="1"/>
  <c r="I415" i="2"/>
  <c r="A414" i="2"/>
  <c r="B413" i="2"/>
  <c r="J415" i="2" l="1"/>
  <c r="I416" i="2"/>
  <c r="B414" i="2"/>
  <c r="A415" i="2"/>
  <c r="J416" i="2" l="1"/>
  <c r="I417" i="2"/>
  <c r="A416" i="2"/>
  <c r="B415" i="2"/>
  <c r="J417" i="2" l="1"/>
  <c r="I418" i="2"/>
  <c r="A417" i="2"/>
  <c r="B416" i="2"/>
  <c r="J418" i="2" l="1"/>
  <c r="I419" i="2"/>
  <c r="A418" i="2"/>
  <c r="B417" i="2"/>
  <c r="J419" i="2" l="1"/>
  <c r="I420" i="2"/>
  <c r="A419" i="2"/>
  <c r="B418" i="2"/>
  <c r="J420" i="2" l="1"/>
  <c r="I421" i="2"/>
  <c r="B419" i="2"/>
  <c r="A420" i="2"/>
  <c r="J421" i="2" l="1"/>
  <c r="I422" i="2"/>
  <c r="A421" i="2"/>
  <c r="B420" i="2"/>
  <c r="J422" i="2" l="1"/>
  <c r="I423" i="2"/>
  <c r="A422" i="2"/>
  <c r="B421" i="2"/>
  <c r="J423" i="2" l="1"/>
  <c r="I424" i="2"/>
  <c r="A423" i="2"/>
  <c r="B422" i="2"/>
  <c r="J424" i="2" l="1"/>
  <c r="I425" i="2"/>
  <c r="B423" i="2"/>
  <c r="A424" i="2"/>
  <c r="J425" i="2" l="1"/>
  <c r="I426" i="2"/>
  <c r="A425" i="2"/>
  <c r="B424" i="2"/>
  <c r="J426" i="2" l="1"/>
  <c r="I427" i="2"/>
  <c r="A426" i="2"/>
  <c r="B425" i="2"/>
  <c r="J427" i="2" l="1"/>
  <c r="I428" i="2"/>
  <c r="A427" i="2"/>
  <c r="B426" i="2"/>
  <c r="J428" i="2" l="1"/>
  <c r="I429" i="2"/>
  <c r="B427" i="2"/>
  <c r="A428" i="2"/>
  <c r="J429" i="2" l="1"/>
  <c r="I430" i="2"/>
  <c r="B428" i="2"/>
  <c r="A429" i="2"/>
  <c r="J430" i="2" l="1"/>
  <c r="I431" i="2"/>
  <c r="B429" i="2"/>
  <c r="A430" i="2"/>
  <c r="J431" i="2" l="1"/>
  <c r="I432" i="2"/>
  <c r="A431" i="2"/>
  <c r="B430" i="2"/>
  <c r="J432" i="2" l="1"/>
  <c r="I433" i="2"/>
  <c r="B431" i="2"/>
  <c r="A432" i="2"/>
  <c r="J433" i="2" l="1"/>
  <c r="I434" i="2"/>
  <c r="A433" i="2"/>
  <c r="B432" i="2"/>
  <c r="J434" i="2" l="1"/>
  <c r="I435" i="2"/>
  <c r="B433" i="2"/>
  <c r="A434" i="2"/>
  <c r="J435" i="2" l="1"/>
  <c r="I436" i="2"/>
  <c r="B434" i="2"/>
  <c r="A435" i="2"/>
  <c r="J436" i="2" l="1"/>
  <c r="I437" i="2"/>
  <c r="A436" i="2"/>
  <c r="B435" i="2"/>
  <c r="J437" i="2" l="1"/>
  <c r="I438" i="2"/>
  <c r="A437" i="2"/>
  <c r="B436" i="2"/>
  <c r="J438" i="2" l="1"/>
  <c r="I439" i="2"/>
  <c r="A438" i="2"/>
  <c r="B437" i="2"/>
  <c r="J439" i="2" l="1"/>
  <c r="I440" i="2"/>
  <c r="B438" i="2"/>
  <c r="A439" i="2"/>
  <c r="J440" i="2" l="1"/>
  <c r="I441" i="2"/>
  <c r="B439" i="2"/>
  <c r="A440" i="2"/>
  <c r="J441" i="2" l="1"/>
  <c r="I442" i="2"/>
  <c r="A441" i="2"/>
  <c r="B440" i="2"/>
  <c r="J442" i="2" l="1"/>
  <c r="I443" i="2"/>
  <c r="A442" i="2"/>
  <c r="B441" i="2"/>
  <c r="J443" i="2" l="1"/>
  <c r="I444" i="2"/>
  <c r="B442" i="2"/>
  <c r="A443" i="2"/>
  <c r="J444" i="2" l="1"/>
  <c r="I445" i="2"/>
  <c r="B443" i="2"/>
  <c r="A444" i="2"/>
  <c r="J445" i="2" l="1"/>
  <c r="I446" i="2"/>
  <c r="B444" i="2"/>
  <c r="A445" i="2"/>
  <c r="J446" i="2" l="1"/>
  <c r="I447" i="2"/>
  <c r="B445" i="2"/>
  <c r="A446" i="2"/>
  <c r="J447" i="2" l="1"/>
  <c r="I448" i="2"/>
  <c r="A447" i="2"/>
  <c r="B446" i="2"/>
  <c r="J448" i="2" l="1"/>
  <c r="I449" i="2"/>
  <c r="B447" i="2"/>
  <c r="A448" i="2"/>
  <c r="J449" i="2" l="1"/>
  <c r="I450" i="2"/>
  <c r="A449" i="2"/>
  <c r="B448" i="2"/>
  <c r="J450" i="2" l="1"/>
  <c r="I451" i="2"/>
  <c r="A450" i="2"/>
  <c r="B449" i="2"/>
  <c r="J451" i="2" l="1"/>
  <c r="I452" i="2"/>
  <c r="A451" i="2"/>
  <c r="B450" i="2"/>
  <c r="J452" i="2" l="1"/>
  <c r="I453" i="2"/>
  <c r="B451" i="2"/>
  <c r="A452" i="2"/>
  <c r="J453" i="2" l="1"/>
  <c r="I454" i="2"/>
  <c r="B452" i="2"/>
  <c r="A453" i="2"/>
  <c r="J454" i="2" l="1"/>
  <c r="I455" i="2"/>
  <c r="B453" i="2"/>
  <c r="A454" i="2"/>
  <c r="J455" i="2" l="1"/>
  <c r="I456" i="2"/>
  <c r="B454" i="2"/>
  <c r="A455" i="2"/>
  <c r="J456" i="2" l="1"/>
  <c r="I457" i="2"/>
  <c r="B455" i="2"/>
  <c r="A456" i="2"/>
  <c r="J457" i="2" l="1"/>
  <c r="I458" i="2"/>
  <c r="A457" i="2"/>
  <c r="B456" i="2"/>
  <c r="J458" i="2" l="1"/>
  <c r="I459" i="2"/>
  <c r="A458" i="2"/>
  <c r="B457" i="2"/>
  <c r="J459" i="2" l="1"/>
  <c r="I460" i="2"/>
  <c r="A459" i="2"/>
  <c r="B458" i="2"/>
  <c r="J460" i="2" l="1"/>
  <c r="I461" i="2"/>
  <c r="B459" i="2"/>
  <c r="A460" i="2"/>
  <c r="J461" i="2" l="1"/>
  <c r="I462" i="2"/>
  <c r="B460" i="2"/>
  <c r="A461" i="2"/>
  <c r="J462" i="2" l="1"/>
  <c r="I463" i="2"/>
  <c r="B461" i="2"/>
  <c r="A462" i="2"/>
  <c r="J463" i="2" l="1"/>
  <c r="I464" i="2"/>
  <c r="A463" i="2"/>
  <c r="B462" i="2"/>
  <c r="J464" i="2" l="1"/>
  <c r="I465" i="2"/>
  <c r="A464" i="2"/>
  <c r="B463" i="2"/>
  <c r="J465" i="2" l="1"/>
  <c r="I466" i="2"/>
  <c r="A465" i="2"/>
  <c r="B464" i="2"/>
  <c r="J466" i="2" l="1"/>
  <c r="I467" i="2"/>
  <c r="B465" i="2"/>
  <c r="A466" i="2"/>
  <c r="J467" i="2" l="1"/>
  <c r="I468" i="2"/>
  <c r="A467" i="2"/>
  <c r="B466" i="2"/>
  <c r="J468" i="2" l="1"/>
  <c r="I469" i="2"/>
  <c r="A468" i="2"/>
  <c r="B467" i="2"/>
  <c r="J469" i="2" l="1"/>
  <c r="I470" i="2"/>
  <c r="A469" i="2"/>
  <c r="B468" i="2"/>
  <c r="J470" i="2" l="1"/>
  <c r="I471" i="2"/>
  <c r="A470" i="2"/>
  <c r="B469" i="2"/>
  <c r="J471" i="2" l="1"/>
  <c r="I472" i="2"/>
  <c r="A471" i="2"/>
  <c r="B470" i="2"/>
  <c r="J472" i="2" l="1"/>
  <c r="I473" i="2"/>
  <c r="B471" i="2"/>
  <c r="A472" i="2"/>
  <c r="J473" i="2" l="1"/>
  <c r="I474" i="2"/>
  <c r="A473" i="2"/>
  <c r="B472" i="2"/>
  <c r="J474" i="2" l="1"/>
  <c r="I475" i="2"/>
  <c r="B473" i="2"/>
  <c r="A474" i="2"/>
  <c r="J475" i="2" l="1"/>
  <c r="I476" i="2"/>
  <c r="A475" i="2"/>
  <c r="B474" i="2"/>
  <c r="J476" i="2" l="1"/>
  <c r="I477" i="2"/>
  <c r="A476" i="2"/>
  <c r="B475" i="2"/>
  <c r="J477" i="2" l="1"/>
  <c r="I478" i="2"/>
  <c r="B476" i="2"/>
  <c r="A477" i="2"/>
  <c r="J478" i="2" l="1"/>
  <c r="I479" i="2"/>
  <c r="B477" i="2"/>
  <c r="A478" i="2"/>
  <c r="J479" i="2" l="1"/>
  <c r="I480" i="2"/>
  <c r="B478" i="2"/>
  <c r="A479" i="2"/>
  <c r="J480" i="2" l="1"/>
  <c r="I481" i="2"/>
  <c r="B479" i="2"/>
  <c r="A480" i="2"/>
  <c r="J481" i="2" l="1"/>
  <c r="I482" i="2"/>
  <c r="A481" i="2"/>
  <c r="B480" i="2"/>
  <c r="J482" i="2" l="1"/>
  <c r="I483" i="2"/>
  <c r="A482" i="2"/>
  <c r="B481" i="2"/>
  <c r="J483" i="2" l="1"/>
  <c r="I484" i="2"/>
  <c r="A483" i="2"/>
  <c r="B482" i="2"/>
  <c r="J484" i="2" l="1"/>
  <c r="I485" i="2"/>
  <c r="B483" i="2"/>
  <c r="A484" i="2"/>
  <c r="J485" i="2" l="1"/>
  <c r="I486" i="2"/>
  <c r="B484" i="2"/>
  <c r="A485" i="2"/>
  <c r="J486" i="2" l="1"/>
  <c r="I487" i="2"/>
  <c r="B485" i="2"/>
  <c r="A486" i="2"/>
  <c r="J487" i="2" l="1"/>
  <c r="I488" i="2"/>
  <c r="B486" i="2"/>
  <c r="A487" i="2"/>
  <c r="J488" i="2" l="1"/>
  <c r="I489" i="2"/>
  <c r="A488" i="2"/>
  <c r="B487" i="2"/>
  <c r="J489" i="2" l="1"/>
  <c r="I490" i="2"/>
  <c r="A489" i="2"/>
  <c r="B488" i="2"/>
  <c r="J490" i="2" l="1"/>
  <c r="I491" i="2"/>
  <c r="A490" i="2"/>
  <c r="B489" i="2"/>
  <c r="J491" i="2" l="1"/>
  <c r="I492" i="2"/>
  <c r="A491" i="2"/>
  <c r="B490" i="2"/>
  <c r="J492" i="2" l="1"/>
  <c r="I493" i="2"/>
  <c r="B491" i="2"/>
  <c r="A492" i="2"/>
  <c r="J493" i="2" l="1"/>
  <c r="I494" i="2"/>
  <c r="B492" i="2"/>
  <c r="A493" i="2"/>
  <c r="J494" i="2" l="1"/>
  <c r="I495" i="2"/>
  <c r="B493" i="2"/>
  <c r="A494" i="2"/>
  <c r="J495" i="2" l="1"/>
  <c r="I496" i="2"/>
  <c r="B494" i="2"/>
  <c r="A495" i="2"/>
  <c r="J496" i="2" l="1"/>
  <c r="I497" i="2"/>
  <c r="B495" i="2"/>
  <c r="A496" i="2"/>
  <c r="J497" i="2" l="1"/>
  <c r="I498" i="2"/>
  <c r="A497" i="2"/>
  <c r="B496" i="2"/>
  <c r="J498" i="2" l="1"/>
  <c r="I499" i="2"/>
  <c r="B497" i="2"/>
  <c r="A498" i="2"/>
  <c r="J499" i="2" l="1"/>
  <c r="I500" i="2"/>
  <c r="B498" i="2"/>
  <c r="A499" i="2"/>
  <c r="J500" i="2" l="1"/>
  <c r="I501" i="2"/>
  <c r="A500" i="2"/>
  <c r="B499" i="2"/>
  <c r="J501" i="2" l="1"/>
  <c r="I502" i="2"/>
  <c r="B500" i="2"/>
  <c r="A501" i="2"/>
  <c r="J502" i="2" l="1"/>
  <c r="I503" i="2"/>
  <c r="A502" i="2"/>
  <c r="B501" i="2"/>
  <c r="J503" i="2" l="1"/>
  <c r="I504" i="2"/>
  <c r="A503" i="2"/>
  <c r="B502" i="2"/>
  <c r="J504" i="2" l="1"/>
  <c r="I505" i="2"/>
  <c r="B503" i="2"/>
  <c r="A504" i="2"/>
  <c r="J505" i="2" l="1"/>
  <c r="I506" i="2"/>
  <c r="A505" i="2"/>
  <c r="B504" i="2"/>
  <c r="J506" i="2" l="1"/>
  <c r="I507" i="2"/>
  <c r="A506" i="2"/>
  <c r="B505" i="2"/>
  <c r="J507" i="2" l="1"/>
  <c r="I508" i="2"/>
  <c r="A507" i="2"/>
  <c r="B506" i="2"/>
  <c r="J508" i="2" l="1"/>
  <c r="I509" i="2"/>
  <c r="A508" i="2"/>
  <c r="B507" i="2"/>
  <c r="J509" i="2" l="1"/>
  <c r="I510" i="2"/>
  <c r="B508" i="2"/>
  <c r="A509" i="2"/>
  <c r="J510" i="2" l="1"/>
  <c r="I511" i="2"/>
  <c r="A510" i="2"/>
  <c r="B509" i="2"/>
  <c r="J511" i="2" l="1"/>
  <c r="I512" i="2"/>
  <c r="A511" i="2"/>
  <c r="B510" i="2"/>
  <c r="J512" i="2" l="1"/>
  <c r="I513" i="2"/>
  <c r="A512" i="2"/>
  <c r="B511" i="2"/>
  <c r="J513" i="2" l="1"/>
  <c r="I514" i="2"/>
  <c r="A513" i="2"/>
  <c r="B512" i="2"/>
  <c r="J514" i="2" l="1"/>
  <c r="I515" i="2"/>
  <c r="A514" i="2"/>
  <c r="B513" i="2"/>
  <c r="J515" i="2" l="1"/>
  <c r="I516" i="2"/>
  <c r="B514" i="2"/>
  <c r="A515" i="2"/>
  <c r="J516" i="2" l="1"/>
  <c r="I517" i="2"/>
  <c r="B515" i="2"/>
  <c r="A516" i="2"/>
  <c r="J517" i="2" l="1"/>
  <c r="I518" i="2"/>
  <c r="A517" i="2"/>
  <c r="B516" i="2"/>
  <c r="J518" i="2" l="1"/>
  <c r="I519" i="2"/>
  <c r="A518" i="2"/>
  <c r="B517" i="2"/>
  <c r="J519" i="2" l="1"/>
  <c r="I520" i="2"/>
  <c r="A519" i="2"/>
  <c r="B518" i="2"/>
  <c r="J520" i="2" l="1"/>
  <c r="I521" i="2"/>
  <c r="B519" i="2"/>
  <c r="A520" i="2"/>
  <c r="J521" i="2" l="1"/>
  <c r="I522" i="2"/>
  <c r="A521" i="2"/>
  <c r="B520" i="2"/>
  <c r="J522" i="2" l="1"/>
  <c r="I523" i="2"/>
  <c r="A522" i="2"/>
  <c r="B521" i="2"/>
  <c r="J523" i="2" l="1"/>
  <c r="I524" i="2"/>
  <c r="A523" i="2"/>
  <c r="B522" i="2"/>
  <c r="J524" i="2" l="1"/>
  <c r="I525" i="2"/>
  <c r="B523" i="2"/>
  <c r="A524" i="2"/>
  <c r="J525" i="2" l="1"/>
  <c r="I526" i="2"/>
  <c r="A525" i="2"/>
  <c r="B524" i="2"/>
  <c r="J526" i="2" l="1"/>
  <c r="I527" i="2"/>
  <c r="B525" i="2"/>
  <c r="A526" i="2"/>
  <c r="J527" i="2" l="1"/>
  <c r="I528" i="2"/>
  <c r="B526" i="2"/>
  <c r="A527" i="2"/>
  <c r="J528" i="2" l="1"/>
  <c r="I529" i="2"/>
  <c r="B527" i="2"/>
  <c r="A528" i="2"/>
  <c r="J529" i="2" l="1"/>
  <c r="I530" i="2"/>
  <c r="B528" i="2"/>
  <c r="A529" i="2"/>
  <c r="J530" i="2" l="1"/>
  <c r="I531" i="2"/>
  <c r="B529" i="2"/>
  <c r="A530" i="2"/>
  <c r="J531" i="2" l="1"/>
  <c r="I532" i="2"/>
  <c r="B530" i="2"/>
  <c r="A531" i="2"/>
  <c r="J532" i="2" l="1"/>
  <c r="I533" i="2"/>
  <c r="A532" i="2"/>
  <c r="B531" i="2"/>
  <c r="J533" i="2" l="1"/>
  <c r="I534" i="2"/>
  <c r="B532" i="2"/>
  <c r="A533" i="2"/>
  <c r="J534" i="2" l="1"/>
  <c r="I535" i="2"/>
  <c r="A534" i="2"/>
  <c r="B533" i="2"/>
  <c r="J535" i="2" l="1"/>
  <c r="I536" i="2"/>
  <c r="A535" i="2"/>
  <c r="B534" i="2"/>
  <c r="J536" i="2" l="1"/>
  <c r="I537" i="2"/>
  <c r="B535" i="2"/>
  <c r="A536" i="2"/>
  <c r="J537" i="2" l="1"/>
  <c r="I538" i="2"/>
  <c r="B536" i="2"/>
  <c r="A537" i="2"/>
  <c r="J538" i="2" l="1"/>
  <c r="I539" i="2"/>
  <c r="B537" i="2"/>
  <c r="A538" i="2"/>
  <c r="J539" i="2" l="1"/>
  <c r="I540" i="2"/>
  <c r="A539" i="2"/>
  <c r="B538" i="2"/>
  <c r="J540" i="2" l="1"/>
  <c r="I541" i="2"/>
  <c r="B539" i="2"/>
  <c r="A540" i="2"/>
  <c r="J541" i="2" l="1"/>
  <c r="I542" i="2"/>
  <c r="B540" i="2"/>
  <c r="A541" i="2"/>
  <c r="J542" i="2" l="1"/>
  <c r="I543" i="2"/>
  <c r="B541" i="2"/>
  <c r="A542" i="2"/>
  <c r="J543" i="2" l="1"/>
  <c r="I544" i="2"/>
  <c r="B542" i="2"/>
  <c r="A543" i="2"/>
  <c r="J544" i="2" l="1"/>
  <c r="I545" i="2"/>
  <c r="B543" i="2"/>
  <c r="A544" i="2"/>
  <c r="J545" i="2" l="1"/>
  <c r="I546" i="2"/>
  <c r="A545" i="2"/>
  <c r="B544" i="2"/>
  <c r="J546" i="2" l="1"/>
  <c r="I547" i="2"/>
  <c r="B545" i="2"/>
  <c r="A546" i="2"/>
  <c r="J547" i="2" l="1"/>
  <c r="I548" i="2"/>
  <c r="A547" i="2"/>
  <c r="B546" i="2"/>
  <c r="J548" i="2" l="1"/>
  <c r="I549" i="2"/>
  <c r="B547" i="2"/>
  <c r="A548" i="2"/>
  <c r="J549" i="2" l="1"/>
  <c r="I550" i="2"/>
  <c r="B548" i="2"/>
  <c r="A549" i="2"/>
  <c r="J550" i="2" l="1"/>
  <c r="I551" i="2"/>
  <c r="A550" i="2"/>
  <c r="B549" i="2"/>
  <c r="J551" i="2" l="1"/>
  <c r="I552" i="2"/>
  <c r="A551" i="2"/>
  <c r="B550" i="2"/>
  <c r="J552" i="2" l="1"/>
  <c r="I553" i="2"/>
  <c r="B551" i="2"/>
  <c r="A552" i="2"/>
  <c r="J553" i="2" l="1"/>
  <c r="I554" i="2"/>
  <c r="A553" i="2"/>
  <c r="B552" i="2"/>
  <c r="J554" i="2" l="1"/>
  <c r="I555" i="2"/>
  <c r="B553" i="2"/>
  <c r="A554" i="2"/>
  <c r="J555" i="2" l="1"/>
  <c r="I556" i="2"/>
  <c r="A555" i="2"/>
  <c r="B554" i="2"/>
  <c r="J556" i="2" l="1"/>
  <c r="I557" i="2"/>
  <c r="A556" i="2"/>
  <c r="B555" i="2"/>
  <c r="J557" i="2" l="1"/>
  <c r="I558" i="2"/>
  <c r="B556" i="2"/>
  <c r="A557" i="2"/>
  <c r="J558" i="2" l="1"/>
  <c r="I559" i="2"/>
  <c r="A558" i="2"/>
  <c r="B557" i="2"/>
  <c r="J559" i="2" l="1"/>
  <c r="I560" i="2"/>
  <c r="B558" i="2"/>
  <c r="A559" i="2"/>
  <c r="J560" i="2" l="1"/>
  <c r="I561" i="2"/>
  <c r="B559" i="2"/>
  <c r="A560" i="2"/>
  <c r="J561" i="2" l="1"/>
  <c r="I562" i="2"/>
  <c r="A561" i="2"/>
  <c r="B560" i="2"/>
  <c r="J562" i="2" l="1"/>
  <c r="I563" i="2"/>
  <c r="A562" i="2"/>
  <c r="B561" i="2"/>
  <c r="J563" i="2" l="1"/>
  <c r="I564" i="2"/>
  <c r="A563" i="2"/>
  <c r="B562" i="2"/>
  <c r="J564" i="2" l="1"/>
  <c r="I565" i="2"/>
  <c r="A564" i="2"/>
  <c r="B563" i="2"/>
  <c r="J565" i="2" l="1"/>
  <c r="I566" i="2"/>
  <c r="A565" i="2"/>
  <c r="B564" i="2"/>
  <c r="J566" i="2" l="1"/>
  <c r="I567" i="2"/>
  <c r="B565" i="2"/>
  <c r="A566" i="2"/>
  <c r="J567" i="2" l="1"/>
  <c r="I568" i="2"/>
  <c r="A567" i="2"/>
  <c r="B566" i="2"/>
  <c r="J568" i="2" l="1"/>
  <c r="I569" i="2"/>
  <c r="B567" i="2"/>
  <c r="A568" i="2"/>
  <c r="J569" i="2" l="1"/>
  <c r="I570" i="2"/>
  <c r="A569" i="2"/>
  <c r="B568" i="2"/>
  <c r="J570" i="2" l="1"/>
  <c r="I571" i="2"/>
  <c r="B569" i="2"/>
  <c r="A570" i="2"/>
  <c r="J571" i="2" l="1"/>
  <c r="I572" i="2"/>
  <c r="A571" i="2"/>
  <c r="B570" i="2"/>
  <c r="J572" i="2" l="1"/>
  <c r="I573" i="2"/>
  <c r="B571" i="2"/>
  <c r="A572" i="2"/>
  <c r="J573" i="2" l="1"/>
  <c r="I574" i="2"/>
  <c r="B572" i="2"/>
  <c r="A573" i="2"/>
  <c r="J574" i="2" l="1"/>
  <c r="I575" i="2"/>
  <c r="B573" i="2"/>
  <c r="A574" i="2"/>
  <c r="J575" i="2" l="1"/>
  <c r="I576" i="2"/>
  <c r="B574" i="2"/>
  <c r="A575" i="2"/>
  <c r="J576" i="2" l="1"/>
  <c r="I577" i="2"/>
  <c r="B575" i="2"/>
  <c r="A576" i="2"/>
  <c r="J577" i="2" l="1"/>
  <c r="I578" i="2"/>
  <c r="A577" i="2"/>
  <c r="B576" i="2"/>
  <c r="J578" i="2" l="1"/>
  <c r="I579" i="2"/>
  <c r="B577" i="2"/>
  <c r="A578" i="2"/>
  <c r="J579" i="2" l="1"/>
  <c r="I580" i="2"/>
  <c r="A579" i="2"/>
  <c r="B578" i="2"/>
  <c r="J580" i="2" l="1"/>
  <c r="I581" i="2"/>
  <c r="A580" i="2"/>
  <c r="B579" i="2"/>
  <c r="J581" i="2" l="1"/>
  <c r="I582" i="2"/>
  <c r="A581" i="2"/>
  <c r="B580" i="2"/>
  <c r="J582" i="2" l="1"/>
  <c r="I583" i="2"/>
  <c r="A582" i="2"/>
  <c r="B581" i="2"/>
  <c r="J583" i="2" l="1"/>
  <c r="I584" i="2"/>
  <c r="B582" i="2"/>
  <c r="A583" i="2"/>
  <c r="J584" i="2" l="1"/>
  <c r="I585" i="2"/>
  <c r="B583" i="2"/>
  <c r="A584" i="2"/>
  <c r="J585" i="2" l="1"/>
  <c r="I586" i="2"/>
  <c r="B584" i="2"/>
  <c r="A585" i="2"/>
  <c r="J586" i="2" l="1"/>
  <c r="I587" i="2"/>
  <c r="B585" i="2"/>
  <c r="A586" i="2"/>
  <c r="J587" i="2" l="1"/>
  <c r="I588" i="2"/>
  <c r="A587" i="2"/>
  <c r="B586" i="2"/>
  <c r="J588" i="2" l="1"/>
  <c r="I589" i="2"/>
  <c r="B587" i="2"/>
  <c r="A588" i="2"/>
  <c r="J589" i="2" l="1"/>
  <c r="I590" i="2"/>
  <c r="A589" i="2"/>
  <c r="B588" i="2"/>
  <c r="J590" i="2" l="1"/>
  <c r="I591" i="2"/>
  <c r="B589" i="2"/>
  <c r="A590" i="2"/>
  <c r="J591" i="2" l="1"/>
  <c r="I592" i="2"/>
  <c r="B590" i="2"/>
  <c r="A591" i="2"/>
  <c r="J592" i="2" l="1"/>
  <c r="I593" i="2"/>
  <c r="A592" i="2"/>
  <c r="B591" i="2"/>
  <c r="J593" i="2" l="1"/>
  <c r="I594" i="2"/>
  <c r="B592" i="2"/>
  <c r="A593" i="2"/>
  <c r="J594" i="2" l="1"/>
  <c r="I595" i="2"/>
  <c r="B593" i="2"/>
  <c r="A594" i="2"/>
  <c r="J595" i="2" l="1"/>
  <c r="I596" i="2"/>
  <c r="A595" i="2"/>
  <c r="B594" i="2"/>
  <c r="J596" i="2" l="1"/>
  <c r="I597" i="2"/>
  <c r="B595" i="2"/>
  <c r="A596" i="2"/>
  <c r="J597" i="2" l="1"/>
  <c r="I598" i="2"/>
  <c r="A597" i="2"/>
  <c r="B596" i="2"/>
  <c r="J598" i="2" l="1"/>
  <c r="I599" i="2"/>
  <c r="A598" i="2"/>
  <c r="B597" i="2"/>
  <c r="J599" i="2" l="1"/>
  <c r="I600" i="2"/>
  <c r="A599" i="2"/>
  <c r="B598" i="2"/>
  <c r="J600" i="2" l="1"/>
  <c r="I601" i="2"/>
  <c r="B599" i="2"/>
  <c r="A600" i="2"/>
  <c r="J601" i="2" l="1"/>
  <c r="I602" i="2"/>
  <c r="A601" i="2"/>
  <c r="B600" i="2"/>
  <c r="J602" i="2" l="1"/>
  <c r="I603" i="2"/>
  <c r="A602" i="2"/>
  <c r="B601" i="2"/>
  <c r="J603" i="2" l="1"/>
  <c r="I604" i="2"/>
  <c r="B602" i="2"/>
  <c r="A603" i="2"/>
  <c r="J604" i="2" l="1"/>
  <c r="I605" i="2"/>
  <c r="A604" i="2"/>
  <c r="B603" i="2"/>
  <c r="J605" i="2" l="1"/>
  <c r="I606" i="2"/>
  <c r="A605" i="2"/>
  <c r="B604" i="2"/>
  <c r="J606" i="2" l="1"/>
  <c r="I607" i="2"/>
  <c r="B605" i="2"/>
  <c r="A606" i="2"/>
  <c r="J607" i="2" l="1"/>
  <c r="I608" i="2"/>
  <c r="A607" i="2"/>
  <c r="B606" i="2"/>
  <c r="J608" i="2" l="1"/>
  <c r="I609" i="2"/>
  <c r="B607" i="2"/>
  <c r="A608" i="2"/>
  <c r="J609" i="2" l="1"/>
  <c r="I610" i="2"/>
  <c r="A609" i="2"/>
  <c r="B608" i="2"/>
  <c r="J610" i="2" l="1"/>
  <c r="I611" i="2"/>
  <c r="A610" i="2"/>
  <c r="B609" i="2"/>
  <c r="J611" i="2" l="1"/>
  <c r="I612" i="2"/>
  <c r="B610" i="2"/>
  <c r="A611" i="2"/>
  <c r="J612" i="2" l="1"/>
  <c r="I613" i="2"/>
  <c r="B611" i="2"/>
  <c r="A612" i="2"/>
  <c r="J613" i="2" l="1"/>
  <c r="I614" i="2"/>
  <c r="B612" i="2"/>
  <c r="A613" i="2"/>
  <c r="J614" i="2" l="1"/>
  <c r="I615" i="2"/>
  <c r="B613" i="2"/>
  <c r="A614" i="2"/>
  <c r="J615" i="2" l="1"/>
  <c r="I616" i="2"/>
  <c r="B614" i="2"/>
  <c r="A615" i="2"/>
  <c r="J616" i="2" l="1"/>
  <c r="I617" i="2"/>
  <c r="B615" i="2"/>
  <c r="A616" i="2"/>
  <c r="J617" i="2" l="1"/>
  <c r="I618" i="2"/>
  <c r="B616" i="2"/>
  <c r="A617" i="2"/>
  <c r="J618" i="2" l="1"/>
  <c r="I619" i="2"/>
  <c r="A618" i="2"/>
  <c r="B617" i="2"/>
  <c r="J619" i="2" l="1"/>
  <c r="I620" i="2"/>
  <c r="B618" i="2"/>
  <c r="A619" i="2"/>
  <c r="J620" i="2" l="1"/>
  <c r="I621" i="2"/>
  <c r="B619" i="2"/>
  <c r="A620" i="2"/>
  <c r="J621" i="2" l="1"/>
  <c r="I622" i="2"/>
  <c r="A621" i="2"/>
  <c r="B620" i="2"/>
  <c r="J622" i="2" l="1"/>
  <c r="I623" i="2"/>
  <c r="A622" i="2"/>
  <c r="B621" i="2"/>
  <c r="J623" i="2" l="1"/>
  <c r="I624" i="2"/>
  <c r="B622" i="2"/>
  <c r="A623" i="2"/>
  <c r="J624" i="2" l="1"/>
  <c r="I625" i="2"/>
  <c r="B623" i="2"/>
  <c r="A624" i="2"/>
  <c r="J625" i="2" l="1"/>
  <c r="I626" i="2"/>
  <c r="B624" i="2"/>
  <c r="A625" i="2"/>
  <c r="J626" i="2" l="1"/>
  <c r="I627" i="2"/>
  <c r="A626" i="2"/>
  <c r="B625" i="2"/>
  <c r="J627" i="2" l="1"/>
  <c r="I628" i="2"/>
  <c r="A627" i="2"/>
  <c r="B626" i="2"/>
  <c r="J628" i="2" l="1"/>
  <c r="I629" i="2"/>
  <c r="B627" i="2"/>
  <c r="A628" i="2"/>
  <c r="J629" i="2" l="1"/>
  <c r="I630" i="2"/>
  <c r="B628" i="2"/>
  <c r="A629" i="2"/>
  <c r="J630" i="2" l="1"/>
  <c r="I631" i="2"/>
  <c r="A630" i="2"/>
  <c r="B629" i="2"/>
  <c r="J631" i="2" l="1"/>
  <c r="I632" i="2"/>
  <c r="B630" i="2"/>
  <c r="A631" i="2"/>
  <c r="J632" i="2" l="1"/>
  <c r="I633" i="2"/>
  <c r="A632" i="2"/>
  <c r="B631" i="2"/>
  <c r="J633" i="2" l="1"/>
  <c r="I634" i="2"/>
  <c r="A633" i="2"/>
  <c r="B632" i="2"/>
  <c r="J634" i="2" l="1"/>
  <c r="I635" i="2"/>
  <c r="A634" i="2"/>
  <c r="B633" i="2"/>
  <c r="J635" i="2" l="1"/>
  <c r="I636" i="2"/>
  <c r="B634" i="2"/>
  <c r="A635" i="2"/>
  <c r="J636" i="2" l="1"/>
  <c r="I637" i="2"/>
  <c r="A636" i="2"/>
  <c r="B635" i="2"/>
  <c r="J637" i="2" l="1"/>
  <c r="I638" i="2"/>
  <c r="B636" i="2"/>
  <c r="A637" i="2"/>
  <c r="J638" i="2" l="1"/>
  <c r="I639" i="2"/>
  <c r="B637" i="2"/>
  <c r="A638" i="2"/>
  <c r="J639" i="2" l="1"/>
  <c r="I640" i="2"/>
  <c r="B638" i="2"/>
  <c r="A639" i="2"/>
  <c r="J640" i="2" l="1"/>
  <c r="I641" i="2"/>
  <c r="A640" i="2"/>
  <c r="B639" i="2"/>
  <c r="J641" i="2" l="1"/>
  <c r="I642" i="2"/>
  <c r="A641" i="2"/>
  <c r="B640" i="2"/>
  <c r="J642" i="2" l="1"/>
  <c r="I643" i="2"/>
  <c r="B641" i="2"/>
  <c r="A642" i="2"/>
  <c r="J643" i="2" l="1"/>
  <c r="I644" i="2"/>
  <c r="A643" i="2"/>
  <c r="B642" i="2"/>
  <c r="J644" i="2" l="1"/>
  <c r="I645" i="2"/>
  <c r="A644" i="2"/>
  <c r="B643" i="2"/>
  <c r="J645" i="2" l="1"/>
  <c r="I646" i="2"/>
  <c r="A645" i="2"/>
  <c r="B644" i="2"/>
  <c r="J646" i="2" l="1"/>
  <c r="I647" i="2"/>
  <c r="B645" i="2"/>
  <c r="A646" i="2"/>
  <c r="J647" i="2" l="1"/>
  <c r="I648" i="2"/>
  <c r="A647" i="2"/>
  <c r="B646" i="2"/>
  <c r="J648" i="2" l="1"/>
  <c r="I649" i="2"/>
  <c r="A648" i="2"/>
  <c r="B647" i="2"/>
  <c r="J649" i="2" l="1"/>
  <c r="I650" i="2"/>
  <c r="A649" i="2"/>
  <c r="B648" i="2"/>
  <c r="J650" i="2" l="1"/>
  <c r="I651" i="2"/>
  <c r="B649" i="2"/>
  <c r="A650" i="2"/>
  <c r="J651" i="2" l="1"/>
  <c r="I652" i="2"/>
  <c r="A651" i="2"/>
  <c r="B650" i="2"/>
  <c r="J652" i="2" l="1"/>
  <c r="I653" i="2"/>
  <c r="B651" i="2"/>
  <c r="A652" i="2"/>
  <c r="J653" i="2" l="1"/>
  <c r="I654" i="2"/>
  <c r="B652" i="2"/>
  <c r="A653" i="2"/>
  <c r="J654" i="2" l="1"/>
  <c r="I655" i="2"/>
  <c r="B653" i="2"/>
  <c r="A654" i="2"/>
  <c r="J655" i="2" l="1"/>
  <c r="I656" i="2"/>
  <c r="B654" i="2"/>
  <c r="A655" i="2"/>
  <c r="J656" i="2" l="1"/>
  <c r="I657" i="2"/>
  <c r="B655" i="2"/>
  <c r="A656" i="2"/>
  <c r="J657" i="2" l="1"/>
  <c r="I658" i="2"/>
  <c r="A657" i="2"/>
  <c r="B656" i="2"/>
  <c r="J658" i="2" l="1"/>
  <c r="I659" i="2"/>
  <c r="A658" i="2"/>
  <c r="B657" i="2"/>
  <c r="J659" i="2" l="1"/>
  <c r="I660" i="2"/>
  <c r="A659" i="2"/>
  <c r="B658" i="2"/>
  <c r="J660" i="2" l="1"/>
  <c r="I661" i="2"/>
  <c r="B659" i="2"/>
  <c r="A660" i="2"/>
  <c r="J661" i="2" l="1"/>
  <c r="I662" i="2"/>
  <c r="B660" i="2"/>
  <c r="A661" i="2"/>
  <c r="J662" i="2" l="1"/>
  <c r="I663" i="2"/>
  <c r="A662" i="2"/>
  <c r="B661" i="2"/>
  <c r="J663" i="2" l="1"/>
  <c r="I664" i="2"/>
  <c r="B662" i="2"/>
  <c r="A663" i="2"/>
  <c r="J664" i="2" l="1"/>
  <c r="I665" i="2"/>
  <c r="A664" i="2"/>
  <c r="B663" i="2"/>
  <c r="J665" i="2" l="1"/>
  <c r="I666" i="2"/>
  <c r="B664" i="2"/>
  <c r="A665" i="2"/>
  <c r="J666" i="2" l="1"/>
  <c r="I667" i="2"/>
  <c r="A666" i="2"/>
  <c r="B665" i="2"/>
  <c r="J667" i="2" l="1"/>
  <c r="I668" i="2"/>
  <c r="A667" i="2"/>
  <c r="B666" i="2"/>
  <c r="J668" i="2" l="1"/>
  <c r="I669" i="2"/>
  <c r="A668" i="2"/>
  <c r="B667" i="2"/>
  <c r="J669" i="2" l="1"/>
  <c r="I670" i="2"/>
  <c r="B668" i="2"/>
  <c r="A669" i="2"/>
  <c r="J670" i="2" l="1"/>
  <c r="I671" i="2"/>
  <c r="B669" i="2"/>
  <c r="A670" i="2"/>
  <c r="J671" i="2" l="1"/>
  <c r="I672" i="2"/>
  <c r="A671" i="2"/>
  <c r="B670" i="2"/>
  <c r="J672" i="2" l="1"/>
  <c r="I673" i="2"/>
  <c r="B671" i="2"/>
  <c r="A672" i="2"/>
  <c r="J673" i="2" l="1"/>
  <c r="I674" i="2"/>
  <c r="B672" i="2"/>
  <c r="A673" i="2"/>
  <c r="J674" i="2" l="1"/>
  <c r="I675" i="2"/>
  <c r="B673" i="2"/>
  <c r="A674" i="2"/>
  <c r="J675" i="2" l="1"/>
  <c r="I676" i="2"/>
  <c r="A675" i="2"/>
  <c r="B674" i="2"/>
  <c r="J676" i="2" l="1"/>
  <c r="I677" i="2"/>
  <c r="A676" i="2"/>
  <c r="B675" i="2"/>
  <c r="J677" i="2" l="1"/>
  <c r="I678" i="2"/>
  <c r="A677" i="2"/>
  <c r="B676" i="2"/>
  <c r="J678" i="2" l="1"/>
  <c r="I679" i="2"/>
  <c r="A678" i="2"/>
  <c r="B677" i="2"/>
  <c r="J679" i="2" l="1"/>
  <c r="I680" i="2"/>
  <c r="B678" i="2"/>
  <c r="A679" i="2"/>
  <c r="J680" i="2" l="1"/>
  <c r="I681" i="2"/>
  <c r="B679" i="2"/>
  <c r="A680" i="2"/>
  <c r="J681" i="2" l="1"/>
  <c r="I682" i="2"/>
  <c r="B680" i="2"/>
  <c r="A681" i="2"/>
  <c r="J682" i="2" l="1"/>
  <c r="I683" i="2"/>
  <c r="A682" i="2"/>
  <c r="B681" i="2"/>
  <c r="J683" i="2" l="1"/>
  <c r="I684" i="2"/>
  <c r="B682" i="2"/>
  <c r="A683" i="2"/>
  <c r="J684" i="2" l="1"/>
  <c r="I685" i="2"/>
  <c r="B683" i="2"/>
  <c r="A684" i="2"/>
  <c r="J685" i="2" l="1"/>
  <c r="I686" i="2"/>
  <c r="B684" i="2"/>
  <c r="A685" i="2"/>
  <c r="J686" i="2" l="1"/>
  <c r="I687" i="2"/>
  <c r="A686" i="2"/>
  <c r="B685" i="2"/>
  <c r="J687" i="2" l="1"/>
  <c r="I688" i="2"/>
  <c r="B686" i="2"/>
  <c r="A687" i="2"/>
  <c r="J688" i="2" l="1"/>
  <c r="I689" i="2"/>
  <c r="B687" i="2"/>
  <c r="A688" i="2"/>
  <c r="J689" i="2" l="1"/>
  <c r="I690" i="2"/>
  <c r="A689" i="2"/>
  <c r="B688" i="2"/>
  <c r="J690" i="2" l="1"/>
  <c r="I691" i="2"/>
  <c r="A690" i="2"/>
  <c r="B689" i="2"/>
  <c r="J691" i="2" l="1"/>
  <c r="I692" i="2"/>
  <c r="B690" i="2"/>
  <c r="A691" i="2"/>
  <c r="J692" i="2" l="1"/>
  <c r="I693" i="2"/>
  <c r="A692" i="2"/>
  <c r="B691" i="2"/>
  <c r="J693" i="2" l="1"/>
  <c r="I694" i="2"/>
  <c r="A693" i="2"/>
  <c r="B692" i="2"/>
  <c r="J694" i="2" l="1"/>
  <c r="I695" i="2"/>
  <c r="B693" i="2"/>
  <c r="A694" i="2"/>
  <c r="J695" i="2" l="1"/>
  <c r="I696" i="2"/>
  <c r="B694" i="2"/>
  <c r="A695" i="2"/>
  <c r="J696" i="2" l="1"/>
  <c r="I697" i="2"/>
  <c r="A696" i="2"/>
  <c r="B695" i="2"/>
  <c r="J697" i="2" l="1"/>
  <c r="I698" i="2"/>
  <c r="A697" i="2"/>
  <c r="B696" i="2"/>
  <c r="J698" i="2" l="1"/>
  <c r="I699" i="2"/>
  <c r="A698" i="2"/>
  <c r="B697" i="2"/>
  <c r="J699" i="2" l="1"/>
  <c r="I700" i="2"/>
  <c r="A699" i="2"/>
  <c r="B698" i="2"/>
  <c r="J700" i="2" l="1"/>
  <c r="I701" i="2"/>
  <c r="B699" i="2"/>
  <c r="A700" i="2"/>
  <c r="J701" i="2" l="1"/>
  <c r="I702" i="2"/>
  <c r="B700" i="2"/>
  <c r="A701" i="2"/>
  <c r="J702" i="2" l="1"/>
  <c r="I703" i="2"/>
  <c r="B701" i="2"/>
  <c r="A702" i="2"/>
  <c r="J703" i="2" l="1"/>
  <c r="I704" i="2"/>
  <c r="A703" i="2"/>
  <c r="B702" i="2"/>
  <c r="J704" i="2" l="1"/>
  <c r="I705" i="2"/>
  <c r="A704" i="2"/>
  <c r="B703" i="2"/>
  <c r="J705" i="2" l="1"/>
  <c r="I706" i="2"/>
  <c r="B704" i="2"/>
  <c r="A705" i="2"/>
  <c r="J706" i="2" l="1"/>
  <c r="I707" i="2"/>
  <c r="A706" i="2"/>
  <c r="B705" i="2"/>
  <c r="J707" i="2" l="1"/>
  <c r="I708" i="2"/>
  <c r="A707" i="2"/>
  <c r="B706" i="2"/>
  <c r="J708" i="2" l="1"/>
  <c r="I709" i="2"/>
  <c r="B707" i="2"/>
  <c r="A708" i="2"/>
  <c r="J709" i="2" l="1"/>
  <c r="I710" i="2"/>
  <c r="B708" i="2"/>
  <c r="A709" i="2"/>
  <c r="J710" i="2" l="1"/>
  <c r="I711" i="2"/>
  <c r="B709" i="2"/>
  <c r="A710" i="2"/>
  <c r="J711" i="2" l="1"/>
  <c r="I712" i="2"/>
  <c r="A711" i="2"/>
  <c r="B710" i="2"/>
  <c r="J712" i="2" l="1"/>
  <c r="I713" i="2"/>
  <c r="B711" i="2"/>
  <c r="A712" i="2"/>
  <c r="J713" i="2" l="1"/>
  <c r="I714" i="2"/>
  <c r="B712" i="2"/>
  <c r="A713" i="2"/>
  <c r="J714" i="2" l="1"/>
  <c r="I715" i="2"/>
  <c r="B713" i="2"/>
  <c r="A714" i="2"/>
  <c r="J715" i="2" l="1"/>
  <c r="I716" i="2"/>
  <c r="B714" i="2"/>
  <c r="A715" i="2"/>
  <c r="J716" i="2" l="1"/>
  <c r="I717" i="2"/>
  <c r="B715" i="2"/>
  <c r="A716" i="2"/>
  <c r="J717" i="2" l="1"/>
  <c r="I718" i="2"/>
  <c r="B716" i="2"/>
  <c r="A717" i="2"/>
  <c r="J718" i="2" l="1"/>
  <c r="I719" i="2"/>
  <c r="A718" i="2"/>
  <c r="B717" i="2"/>
  <c r="J719" i="2" l="1"/>
  <c r="I720" i="2"/>
  <c r="A719" i="2"/>
  <c r="B718" i="2"/>
  <c r="J720" i="2" l="1"/>
  <c r="I721" i="2"/>
  <c r="A720" i="2"/>
  <c r="B719" i="2"/>
  <c r="J721" i="2" l="1"/>
  <c r="I722" i="2"/>
  <c r="A721" i="2"/>
  <c r="B720" i="2"/>
  <c r="J722" i="2" l="1"/>
  <c r="I723" i="2"/>
  <c r="A722" i="2"/>
  <c r="B721" i="2"/>
  <c r="J723" i="2" l="1"/>
  <c r="I724" i="2"/>
  <c r="B722" i="2"/>
  <c r="A723" i="2"/>
  <c r="J724" i="2" l="1"/>
  <c r="I725" i="2"/>
  <c r="B723" i="2"/>
  <c r="A724" i="2"/>
  <c r="J725" i="2" l="1"/>
  <c r="I726" i="2"/>
  <c r="A725" i="2"/>
  <c r="B724" i="2"/>
  <c r="J726" i="2" l="1"/>
  <c r="I727" i="2"/>
  <c r="A726" i="2"/>
  <c r="B725" i="2"/>
  <c r="J727" i="2" l="1"/>
  <c r="I728" i="2"/>
  <c r="B726" i="2"/>
  <c r="A727" i="2"/>
  <c r="J728" i="2" l="1"/>
  <c r="I729" i="2"/>
  <c r="B727" i="2"/>
  <c r="A728" i="2"/>
  <c r="J729" i="2" l="1"/>
  <c r="I730" i="2"/>
  <c r="B728" i="2"/>
  <c r="A729" i="2"/>
  <c r="J730" i="2" l="1"/>
  <c r="I731" i="2"/>
  <c r="B729" i="2"/>
  <c r="A730" i="2"/>
  <c r="J731" i="2" l="1"/>
  <c r="I732" i="2"/>
  <c r="B730" i="2"/>
  <c r="A731" i="2"/>
  <c r="J732" i="2" l="1"/>
  <c r="I733" i="2"/>
  <c r="A732" i="2"/>
  <c r="B731" i="2"/>
  <c r="J733" i="2" l="1"/>
  <c r="I734" i="2"/>
  <c r="A733" i="2"/>
  <c r="B732" i="2"/>
  <c r="J734" i="2" l="1"/>
  <c r="I735" i="2"/>
  <c r="B733" i="2"/>
  <c r="A734" i="2"/>
  <c r="J735" i="2" l="1"/>
  <c r="I736" i="2"/>
  <c r="B734" i="2"/>
  <c r="A735" i="2"/>
  <c r="J736" i="2" l="1"/>
  <c r="I737" i="2"/>
  <c r="B735" i="2"/>
  <c r="A736" i="2"/>
  <c r="J737" i="2" l="1"/>
  <c r="I738" i="2"/>
  <c r="B736" i="2"/>
  <c r="A737" i="2"/>
  <c r="J738" i="2" l="1"/>
  <c r="I739" i="2"/>
  <c r="A738" i="2"/>
  <c r="B737" i="2"/>
  <c r="J739" i="2" l="1"/>
  <c r="I740" i="2"/>
  <c r="A739" i="2"/>
  <c r="B738" i="2"/>
  <c r="J740" i="2" l="1"/>
  <c r="I741" i="2"/>
  <c r="B739" i="2"/>
  <c r="A740" i="2"/>
  <c r="J741" i="2" l="1"/>
  <c r="I742" i="2"/>
  <c r="A741" i="2"/>
  <c r="B740" i="2"/>
  <c r="J742" i="2" l="1"/>
  <c r="I743" i="2"/>
  <c r="B741" i="2"/>
  <c r="A742" i="2"/>
  <c r="J743" i="2" l="1"/>
  <c r="I744" i="2"/>
  <c r="B742" i="2"/>
  <c r="A743" i="2"/>
  <c r="J744" i="2" l="1"/>
  <c r="I745" i="2"/>
  <c r="A744" i="2"/>
  <c r="B743" i="2"/>
  <c r="J745" i="2" l="1"/>
  <c r="I746" i="2"/>
  <c r="B744" i="2"/>
  <c r="A745" i="2"/>
  <c r="J746" i="2" l="1"/>
  <c r="I747" i="2"/>
  <c r="B745" i="2"/>
  <c r="A746" i="2"/>
  <c r="J747" i="2" l="1"/>
  <c r="I748" i="2"/>
  <c r="B746" i="2"/>
  <c r="A747" i="2"/>
  <c r="J748" i="2" l="1"/>
  <c r="I749" i="2"/>
  <c r="B747" i="2"/>
  <c r="A748" i="2"/>
  <c r="J749" i="2" l="1"/>
  <c r="I750" i="2"/>
  <c r="A749" i="2"/>
  <c r="B748" i="2"/>
  <c r="J750" i="2" l="1"/>
  <c r="I751" i="2"/>
  <c r="A750" i="2"/>
  <c r="B749" i="2"/>
  <c r="J751" i="2" l="1"/>
  <c r="I752" i="2"/>
  <c r="A751" i="2"/>
  <c r="B750" i="2"/>
  <c r="J752" i="2" l="1"/>
  <c r="I753" i="2"/>
  <c r="B751" i="2"/>
  <c r="A752" i="2"/>
  <c r="J753" i="2" l="1"/>
  <c r="I754" i="2"/>
  <c r="B752" i="2"/>
  <c r="A753" i="2"/>
  <c r="J754" i="2" l="1"/>
  <c r="I755" i="2"/>
  <c r="B753" i="2"/>
  <c r="A754" i="2"/>
  <c r="J755" i="2" l="1"/>
  <c r="I756" i="2"/>
  <c r="A755" i="2"/>
  <c r="B754" i="2"/>
  <c r="J756" i="2" l="1"/>
  <c r="I757" i="2"/>
  <c r="B755" i="2"/>
  <c r="A756" i="2"/>
  <c r="J757" i="2" l="1"/>
  <c r="I758" i="2"/>
  <c r="A757" i="2"/>
  <c r="B756" i="2"/>
  <c r="J758" i="2" l="1"/>
  <c r="I759" i="2"/>
  <c r="A758" i="2"/>
  <c r="B757" i="2"/>
  <c r="J759" i="2" l="1"/>
  <c r="I760" i="2"/>
  <c r="B758" i="2"/>
  <c r="A759" i="2"/>
  <c r="J760" i="2" l="1"/>
  <c r="I761" i="2"/>
  <c r="B759" i="2"/>
  <c r="A760" i="2"/>
  <c r="J761" i="2" l="1"/>
  <c r="I762" i="2"/>
  <c r="B760" i="2"/>
  <c r="A761" i="2"/>
  <c r="J762" i="2" l="1"/>
  <c r="I763" i="2"/>
  <c r="B761" i="2"/>
  <c r="A762" i="2"/>
  <c r="J763" i="2" l="1"/>
  <c r="I764" i="2"/>
  <c r="B762" i="2"/>
  <c r="A763" i="2"/>
  <c r="J764" i="2" l="1"/>
  <c r="I765" i="2"/>
  <c r="B763" i="2"/>
  <c r="A764" i="2"/>
  <c r="J765" i="2" l="1"/>
  <c r="I766" i="2"/>
  <c r="A765" i="2"/>
  <c r="B764" i="2"/>
  <c r="J766" i="2" l="1"/>
  <c r="I767" i="2"/>
  <c r="A766" i="2"/>
  <c r="B765" i="2"/>
  <c r="J767" i="2" l="1"/>
  <c r="I768" i="2"/>
  <c r="A767" i="2"/>
  <c r="B766" i="2"/>
  <c r="J768" i="2" l="1"/>
  <c r="I769" i="2"/>
  <c r="B767" i="2"/>
  <c r="A768" i="2"/>
  <c r="J769" i="2" l="1"/>
  <c r="I770" i="2"/>
  <c r="B768" i="2"/>
  <c r="A769" i="2"/>
  <c r="J770" i="2" l="1"/>
  <c r="I771" i="2"/>
  <c r="B769" i="2"/>
  <c r="A770" i="2"/>
  <c r="J771" i="2" l="1"/>
  <c r="I772" i="2"/>
  <c r="A771" i="2"/>
  <c r="B770" i="2"/>
  <c r="J772" i="2" l="1"/>
  <c r="I773" i="2"/>
  <c r="B771" i="2"/>
  <c r="A772" i="2"/>
  <c r="J773" i="2" l="1"/>
  <c r="I774" i="2"/>
  <c r="A773" i="2"/>
  <c r="B772" i="2"/>
  <c r="J774" i="2" l="1"/>
  <c r="I775" i="2"/>
  <c r="B773" i="2"/>
  <c r="A774" i="2"/>
  <c r="J775" i="2" l="1"/>
  <c r="I776" i="2"/>
  <c r="B774" i="2"/>
  <c r="A775" i="2"/>
  <c r="J776" i="2" l="1"/>
  <c r="I777" i="2"/>
  <c r="B775" i="2"/>
  <c r="A776" i="2"/>
  <c r="J777" i="2" l="1"/>
  <c r="I778" i="2"/>
  <c r="B776" i="2"/>
  <c r="A777" i="2"/>
  <c r="J778" i="2" l="1"/>
  <c r="I779" i="2"/>
  <c r="B777" i="2"/>
  <c r="A778" i="2"/>
  <c r="J779" i="2" l="1"/>
  <c r="I780" i="2"/>
  <c r="A779" i="2"/>
  <c r="B778" i="2"/>
  <c r="J780" i="2" l="1"/>
  <c r="I781" i="2"/>
  <c r="B779" i="2"/>
  <c r="A780" i="2"/>
  <c r="J781" i="2" l="1"/>
  <c r="I782" i="2"/>
  <c r="A781" i="2"/>
  <c r="B780" i="2"/>
  <c r="J782" i="2" l="1"/>
  <c r="I783" i="2"/>
  <c r="B781" i="2"/>
  <c r="A782" i="2"/>
  <c r="J783" i="2" l="1"/>
  <c r="I784" i="2"/>
  <c r="B782" i="2"/>
  <c r="A783" i="2"/>
  <c r="J784" i="2" l="1"/>
  <c r="I785" i="2"/>
  <c r="A784" i="2"/>
  <c r="B783" i="2"/>
  <c r="J785" i="2" l="1"/>
  <c r="I786" i="2"/>
  <c r="A785" i="2"/>
  <c r="B784" i="2"/>
  <c r="J786" i="2" l="1"/>
  <c r="I787" i="2"/>
  <c r="A786" i="2"/>
  <c r="B785" i="2"/>
  <c r="J787" i="2" l="1"/>
  <c r="I788" i="2"/>
  <c r="B786" i="2"/>
  <c r="A787" i="2"/>
  <c r="J788" i="2" l="1"/>
  <c r="I789" i="2"/>
  <c r="A788" i="2"/>
  <c r="B787" i="2"/>
  <c r="J789" i="2" l="1"/>
  <c r="I790" i="2"/>
  <c r="A789" i="2"/>
  <c r="B788" i="2"/>
  <c r="J790" i="2" l="1"/>
  <c r="I791" i="2"/>
  <c r="A790" i="2"/>
  <c r="B789" i="2"/>
  <c r="J791" i="2" l="1"/>
  <c r="I792" i="2"/>
  <c r="A791" i="2"/>
  <c r="B790" i="2"/>
  <c r="J792" i="2" l="1"/>
  <c r="I793" i="2"/>
  <c r="A792" i="2"/>
  <c r="B791" i="2"/>
  <c r="J793" i="2" l="1"/>
  <c r="I794" i="2"/>
  <c r="B792" i="2"/>
  <c r="A793" i="2"/>
  <c r="J794" i="2" l="1"/>
  <c r="I795" i="2"/>
  <c r="B793" i="2"/>
  <c r="A794" i="2"/>
  <c r="J795" i="2" l="1"/>
  <c r="I796" i="2"/>
  <c r="A795" i="2"/>
  <c r="B794" i="2"/>
  <c r="J796" i="2" l="1"/>
  <c r="I797" i="2"/>
  <c r="A796" i="2"/>
  <c r="B795" i="2"/>
  <c r="J797" i="2" l="1"/>
  <c r="I798" i="2"/>
  <c r="A797" i="2"/>
  <c r="B796" i="2"/>
  <c r="J798" i="2" l="1"/>
  <c r="I799" i="2"/>
  <c r="B797" i="2"/>
  <c r="A798" i="2"/>
  <c r="J799" i="2" l="1"/>
  <c r="I800" i="2"/>
  <c r="A799" i="2"/>
  <c r="B798" i="2"/>
  <c r="J800" i="2" l="1"/>
  <c r="I801" i="2"/>
  <c r="A800" i="2"/>
  <c r="B799" i="2"/>
  <c r="J801" i="2" l="1"/>
  <c r="I802" i="2"/>
  <c r="A801" i="2"/>
  <c r="B800" i="2"/>
  <c r="J802" i="2" l="1"/>
  <c r="I803" i="2"/>
  <c r="B801" i="2"/>
  <c r="A802" i="2"/>
  <c r="J803" i="2" l="1"/>
  <c r="I804" i="2"/>
  <c r="B802" i="2"/>
  <c r="A803" i="2"/>
  <c r="J804" i="2" l="1"/>
  <c r="I805" i="2"/>
  <c r="A804" i="2"/>
  <c r="B803" i="2"/>
  <c r="J805" i="2" l="1"/>
  <c r="I806" i="2"/>
  <c r="A805" i="2"/>
  <c r="B804" i="2"/>
  <c r="J806" i="2" l="1"/>
  <c r="I807" i="2"/>
  <c r="B805" i="2"/>
  <c r="A806" i="2"/>
  <c r="J807" i="2" l="1"/>
  <c r="I808" i="2"/>
  <c r="A807" i="2"/>
  <c r="B806" i="2"/>
  <c r="J808" i="2" l="1"/>
  <c r="I809" i="2"/>
  <c r="A808" i="2"/>
  <c r="B807" i="2"/>
  <c r="J809" i="2" l="1"/>
  <c r="I810" i="2"/>
  <c r="B808" i="2"/>
  <c r="A809" i="2"/>
  <c r="J810" i="2" l="1"/>
  <c r="I811" i="2"/>
  <c r="B809" i="2"/>
  <c r="A810" i="2"/>
  <c r="J811" i="2" l="1"/>
  <c r="I812" i="2"/>
  <c r="B810" i="2"/>
  <c r="A811" i="2"/>
  <c r="J812" i="2" l="1"/>
  <c r="I813" i="2"/>
  <c r="A812" i="2"/>
  <c r="B811" i="2"/>
  <c r="J813" i="2" l="1"/>
  <c r="I814" i="2"/>
  <c r="A813" i="2"/>
  <c r="B812" i="2"/>
  <c r="J814" i="2" l="1"/>
  <c r="I815" i="2"/>
  <c r="B813" i="2"/>
  <c r="A814" i="2"/>
  <c r="J815" i="2" l="1"/>
  <c r="I816" i="2"/>
  <c r="A815" i="2"/>
  <c r="B814" i="2"/>
  <c r="J816" i="2" l="1"/>
  <c r="I817" i="2"/>
  <c r="B815" i="2"/>
  <c r="A816" i="2"/>
  <c r="J817" i="2" l="1"/>
  <c r="I818" i="2"/>
  <c r="B816" i="2"/>
  <c r="A817" i="2"/>
  <c r="J818" i="2" l="1"/>
  <c r="I819" i="2"/>
  <c r="B817" i="2"/>
  <c r="A818" i="2"/>
  <c r="J819" i="2" l="1"/>
  <c r="I820" i="2"/>
  <c r="A819" i="2"/>
  <c r="B818" i="2"/>
  <c r="J820" i="2" l="1"/>
  <c r="I821" i="2"/>
  <c r="A820" i="2"/>
  <c r="B819" i="2"/>
  <c r="J821" i="2" l="1"/>
  <c r="I822" i="2"/>
  <c r="A821" i="2"/>
  <c r="B820" i="2"/>
  <c r="J822" i="2" l="1"/>
  <c r="I823" i="2"/>
  <c r="A822" i="2"/>
  <c r="B821" i="2"/>
  <c r="J823" i="2" l="1"/>
  <c r="I824" i="2"/>
  <c r="A823" i="2"/>
  <c r="B822" i="2"/>
  <c r="J824" i="2" l="1"/>
  <c r="I825" i="2"/>
  <c r="B823" i="2"/>
  <c r="A824" i="2"/>
  <c r="J825" i="2" l="1"/>
  <c r="I826" i="2"/>
  <c r="B824" i="2"/>
  <c r="A825" i="2"/>
  <c r="J826" i="2" l="1"/>
  <c r="I827" i="2"/>
  <c r="A826" i="2"/>
  <c r="B825" i="2"/>
  <c r="J827" i="2" l="1"/>
  <c r="I828" i="2"/>
  <c r="B826" i="2"/>
  <c r="A827" i="2"/>
  <c r="J828" i="2" l="1"/>
  <c r="I829" i="2"/>
  <c r="B827" i="2"/>
  <c r="A828" i="2"/>
  <c r="J829" i="2" l="1"/>
  <c r="I830" i="2"/>
  <c r="B828" i="2"/>
  <c r="A829" i="2"/>
  <c r="J830" i="2" l="1"/>
  <c r="I831" i="2"/>
  <c r="B829" i="2"/>
  <c r="A830" i="2"/>
  <c r="J831" i="2" l="1"/>
  <c r="I832" i="2"/>
  <c r="A831" i="2"/>
  <c r="B830" i="2"/>
  <c r="J832" i="2" l="1"/>
  <c r="I833" i="2"/>
  <c r="B831" i="2"/>
  <c r="A832" i="2"/>
  <c r="J833" i="2" l="1"/>
  <c r="I834" i="2"/>
  <c r="B832" i="2"/>
  <c r="A833" i="2"/>
  <c r="J834" i="2" l="1"/>
  <c r="I835" i="2"/>
  <c r="B833" i="2"/>
  <c r="A834" i="2"/>
  <c r="J835" i="2" l="1"/>
  <c r="I836" i="2"/>
  <c r="A835" i="2"/>
  <c r="B834" i="2"/>
  <c r="J836" i="2" l="1"/>
  <c r="I837" i="2"/>
  <c r="A836" i="2"/>
  <c r="B835" i="2"/>
  <c r="J837" i="2" l="1"/>
  <c r="I838" i="2"/>
  <c r="B836" i="2"/>
  <c r="A837" i="2"/>
  <c r="J838" i="2" l="1"/>
  <c r="I839" i="2"/>
  <c r="B837" i="2"/>
  <c r="A838" i="2"/>
  <c r="J839" i="2" l="1"/>
  <c r="I840" i="2"/>
  <c r="B838" i="2"/>
  <c r="A839" i="2"/>
  <c r="J840" i="2" l="1"/>
  <c r="I841" i="2"/>
  <c r="B839" i="2"/>
  <c r="A840" i="2"/>
  <c r="J841" i="2" l="1"/>
  <c r="I842" i="2"/>
  <c r="A841" i="2"/>
  <c r="B840" i="2"/>
  <c r="J842" i="2" l="1"/>
  <c r="I843" i="2"/>
  <c r="A842" i="2"/>
  <c r="B841" i="2"/>
  <c r="J843" i="2" l="1"/>
  <c r="I844" i="2"/>
  <c r="B842" i="2"/>
  <c r="A843" i="2"/>
  <c r="J844" i="2" l="1"/>
  <c r="I845" i="2"/>
  <c r="A844" i="2"/>
  <c r="B843" i="2"/>
  <c r="J845" i="2" l="1"/>
  <c r="I846" i="2"/>
  <c r="A845" i="2"/>
  <c r="B844" i="2"/>
  <c r="J846" i="2" l="1"/>
  <c r="I847" i="2"/>
  <c r="B845" i="2"/>
  <c r="A846" i="2"/>
  <c r="J847" i="2" l="1"/>
  <c r="I848" i="2"/>
  <c r="B846" i="2"/>
  <c r="A847" i="2"/>
  <c r="J848" i="2" l="1"/>
  <c r="I849" i="2"/>
  <c r="A848" i="2"/>
  <c r="B847" i="2"/>
  <c r="J849" i="2" l="1"/>
  <c r="I850" i="2"/>
  <c r="B848" i="2"/>
  <c r="A849" i="2"/>
  <c r="J850" i="2" l="1"/>
  <c r="I851" i="2"/>
  <c r="B849" i="2"/>
  <c r="A850" i="2"/>
  <c r="J851" i="2" l="1"/>
  <c r="I852" i="2"/>
  <c r="A851" i="2"/>
  <c r="B850" i="2"/>
  <c r="J852" i="2" l="1"/>
  <c r="I853" i="2"/>
  <c r="B851" i="2"/>
  <c r="A852" i="2"/>
  <c r="J853" i="2" l="1"/>
  <c r="I854" i="2"/>
  <c r="A853" i="2"/>
  <c r="B852" i="2"/>
  <c r="J854" i="2" l="1"/>
  <c r="I855" i="2"/>
  <c r="B853" i="2"/>
  <c r="A854" i="2"/>
  <c r="J855" i="2" l="1"/>
  <c r="I856" i="2"/>
  <c r="B854" i="2"/>
  <c r="A855" i="2"/>
  <c r="J856" i="2" l="1"/>
  <c r="I857" i="2"/>
  <c r="B855" i="2"/>
  <c r="A856" i="2"/>
  <c r="J857" i="2" l="1"/>
  <c r="I858" i="2"/>
  <c r="A857" i="2"/>
  <c r="B856" i="2"/>
  <c r="J858" i="2" l="1"/>
  <c r="I859" i="2"/>
  <c r="B857" i="2"/>
  <c r="A858" i="2"/>
  <c r="J859" i="2" l="1"/>
  <c r="I860" i="2"/>
  <c r="A859" i="2"/>
  <c r="B858" i="2"/>
  <c r="J860" i="2" l="1"/>
  <c r="I861" i="2"/>
  <c r="A860" i="2"/>
  <c r="B859" i="2"/>
  <c r="J861" i="2" l="1"/>
  <c r="I862" i="2"/>
  <c r="B860" i="2"/>
  <c r="A861" i="2"/>
  <c r="J862" i="2" l="1"/>
  <c r="I863" i="2"/>
  <c r="B861" i="2"/>
  <c r="A862" i="2"/>
  <c r="J863" i="2" l="1"/>
  <c r="I864" i="2"/>
  <c r="A863" i="2"/>
  <c r="B862" i="2"/>
  <c r="J864" i="2" l="1"/>
  <c r="I865" i="2"/>
  <c r="A864" i="2"/>
  <c r="B863" i="2"/>
  <c r="J865" i="2" l="1"/>
  <c r="I866" i="2"/>
  <c r="A865" i="2"/>
  <c r="B864" i="2"/>
  <c r="J866" i="2" l="1"/>
  <c r="I867" i="2"/>
  <c r="B865" i="2"/>
  <c r="A866" i="2"/>
  <c r="J867" i="2" l="1"/>
  <c r="I868" i="2"/>
  <c r="A867" i="2"/>
  <c r="B866" i="2"/>
  <c r="J868" i="2" l="1"/>
  <c r="I869" i="2"/>
  <c r="B867" i="2"/>
  <c r="A868" i="2"/>
  <c r="J869" i="2" l="1"/>
  <c r="I870" i="2"/>
  <c r="A869" i="2"/>
  <c r="B868" i="2"/>
  <c r="J870" i="2" l="1"/>
  <c r="I871" i="2"/>
  <c r="B869" i="2"/>
  <c r="A870" i="2"/>
  <c r="J871" i="2" l="1"/>
  <c r="I872" i="2"/>
  <c r="B870" i="2"/>
  <c r="A871" i="2"/>
  <c r="J872" i="2" l="1"/>
  <c r="I873" i="2"/>
  <c r="A872" i="2"/>
  <c r="B871" i="2"/>
  <c r="J873" i="2" l="1"/>
  <c r="I874" i="2"/>
  <c r="B872" i="2"/>
  <c r="A873" i="2"/>
  <c r="J874" i="2" l="1"/>
  <c r="I875" i="2"/>
  <c r="A874" i="2"/>
  <c r="B873" i="2"/>
  <c r="J875" i="2" l="1"/>
  <c r="I876" i="2"/>
  <c r="A875" i="2"/>
  <c r="B874" i="2"/>
  <c r="J876" i="2" l="1"/>
  <c r="I877" i="2"/>
  <c r="B875" i="2"/>
  <c r="A876" i="2"/>
  <c r="J877" i="2" l="1"/>
  <c r="I878" i="2"/>
  <c r="A877" i="2"/>
  <c r="B876" i="2"/>
  <c r="J878" i="2" l="1"/>
  <c r="I879" i="2"/>
  <c r="A878" i="2"/>
  <c r="B877" i="2"/>
  <c r="J879" i="2" l="1"/>
  <c r="I880" i="2"/>
  <c r="B878" i="2"/>
  <c r="A879" i="2"/>
  <c r="J880" i="2" l="1"/>
  <c r="I881" i="2"/>
  <c r="A880" i="2"/>
  <c r="B879" i="2"/>
  <c r="J881" i="2" l="1"/>
  <c r="I882" i="2"/>
  <c r="B880" i="2"/>
  <c r="A881" i="2"/>
  <c r="J882" i="2" l="1"/>
  <c r="I883" i="2"/>
  <c r="A882" i="2"/>
  <c r="B881" i="2"/>
  <c r="J883" i="2" l="1"/>
  <c r="I884" i="2"/>
  <c r="A883" i="2"/>
  <c r="B882" i="2"/>
  <c r="J884" i="2" l="1"/>
  <c r="I885" i="2"/>
  <c r="B883" i="2"/>
  <c r="A884" i="2"/>
  <c r="J885" i="2" l="1"/>
  <c r="I886" i="2"/>
  <c r="B884" i="2"/>
  <c r="A885" i="2"/>
  <c r="J886" i="2" l="1"/>
  <c r="I887" i="2"/>
  <c r="B885" i="2"/>
  <c r="A886" i="2"/>
  <c r="J887" i="2" l="1"/>
  <c r="I888" i="2"/>
  <c r="A887" i="2"/>
  <c r="B886" i="2"/>
  <c r="J888" i="2" l="1"/>
  <c r="I889" i="2"/>
  <c r="B887" i="2"/>
  <c r="A888" i="2"/>
  <c r="J889" i="2" l="1"/>
  <c r="I890" i="2"/>
  <c r="B888" i="2"/>
  <c r="A889" i="2"/>
  <c r="J890" i="2" l="1"/>
  <c r="I891" i="2"/>
  <c r="B889" i="2"/>
  <c r="A890" i="2"/>
  <c r="J891" i="2" l="1"/>
  <c r="I892" i="2"/>
  <c r="B890" i="2"/>
  <c r="A891" i="2"/>
  <c r="J892" i="2" l="1"/>
  <c r="I893" i="2"/>
  <c r="A892" i="2"/>
  <c r="B891" i="2"/>
  <c r="J893" i="2" l="1"/>
  <c r="I894" i="2"/>
  <c r="A893" i="2"/>
  <c r="B892" i="2"/>
  <c r="J894" i="2" l="1"/>
  <c r="I895" i="2"/>
  <c r="A894" i="2"/>
  <c r="B893" i="2"/>
  <c r="J895" i="2" l="1"/>
  <c r="I896" i="2"/>
  <c r="B894" i="2"/>
  <c r="A895" i="2"/>
  <c r="J896" i="2" l="1"/>
  <c r="I897" i="2"/>
  <c r="A896" i="2"/>
  <c r="B895" i="2"/>
  <c r="J897" i="2" l="1"/>
  <c r="I898" i="2"/>
  <c r="A897" i="2"/>
  <c r="B896" i="2"/>
  <c r="J898" i="2" l="1"/>
  <c r="I899" i="2"/>
  <c r="A898" i="2"/>
  <c r="B897" i="2"/>
  <c r="J899" i="2" l="1"/>
  <c r="I900" i="2"/>
  <c r="A899" i="2"/>
  <c r="B898" i="2"/>
  <c r="J900" i="2" l="1"/>
  <c r="I901" i="2"/>
  <c r="B899" i="2"/>
  <c r="A900" i="2"/>
  <c r="J901" i="2" l="1"/>
  <c r="I902" i="2"/>
  <c r="A901" i="2"/>
  <c r="B900" i="2"/>
  <c r="J902" i="2" l="1"/>
  <c r="I903" i="2"/>
  <c r="A902" i="2"/>
  <c r="B901" i="2"/>
  <c r="J903" i="2" l="1"/>
  <c r="I904" i="2"/>
  <c r="B902" i="2"/>
  <c r="A903" i="2"/>
  <c r="J904" i="2" l="1"/>
  <c r="I905" i="2"/>
  <c r="B903" i="2"/>
  <c r="A904" i="2"/>
  <c r="J905" i="2" l="1"/>
  <c r="I906" i="2"/>
  <c r="A905" i="2"/>
  <c r="B904" i="2"/>
  <c r="J906" i="2" l="1"/>
  <c r="I907" i="2"/>
  <c r="A906" i="2"/>
  <c r="B905" i="2"/>
  <c r="J907" i="2" l="1"/>
  <c r="I908" i="2"/>
  <c r="A907" i="2"/>
  <c r="B906" i="2"/>
  <c r="J908" i="2" l="1"/>
  <c r="I909" i="2"/>
  <c r="B907" i="2"/>
  <c r="A908" i="2"/>
  <c r="J909" i="2" l="1"/>
  <c r="I910" i="2"/>
  <c r="A909" i="2"/>
  <c r="B908" i="2"/>
  <c r="J910" i="2" l="1"/>
  <c r="I911" i="2"/>
  <c r="B909" i="2"/>
  <c r="A910" i="2"/>
  <c r="J911" i="2" l="1"/>
  <c r="I912" i="2"/>
  <c r="B910" i="2"/>
  <c r="A911" i="2"/>
  <c r="J912" i="2" l="1"/>
  <c r="I913" i="2"/>
  <c r="B911" i="2"/>
  <c r="A912" i="2"/>
  <c r="J913" i="2" l="1"/>
  <c r="I914" i="2"/>
  <c r="A913" i="2"/>
  <c r="B912" i="2"/>
  <c r="J914" i="2" l="1"/>
  <c r="I915" i="2"/>
  <c r="B913" i="2"/>
  <c r="A914" i="2"/>
  <c r="J915" i="2" l="1"/>
  <c r="I916" i="2"/>
  <c r="B914" i="2"/>
  <c r="A915" i="2"/>
  <c r="J916" i="2" l="1"/>
  <c r="I917" i="2"/>
  <c r="A916" i="2"/>
  <c r="B915" i="2"/>
  <c r="J917" i="2" l="1"/>
  <c r="I918" i="2"/>
  <c r="A917" i="2"/>
  <c r="B916" i="2"/>
  <c r="J918" i="2" l="1"/>
  <c r="I919" i="2"/>
  <c r="A918" i="2"/>
  <c r="B917" i="2"/>
  <c r="J919" i="2" l="1"/>
  <c r="I920" i="2"/>
  <c r="A919" i="2"/>
  <c r="B918" i="2"/>
  <c r="J920" i="2" l="1"/>
  <c r="I921" i="2"/>
  <c r="B919" i="2"/>
  <c r="A920" i="2"/>
  <c r="J921" i="2" l="1"/>
  <c r="I922" i="2"/>
  <c r="A921" i="2"/>
  <c r="B920" i="2"/>
  <c r="J922" i="2" l="1"/>
  <c r="I923" i="2"/>
  <c r="B921" i="2"/>
  <c r="A922" i="2"/>
  <c r="J923" i="2" l="1"/>
  <c r="I924" i="2"/>
  <c r="A923" i="2"/>
  <c r="B922" i="2"/>
  <c r="J924" i="2" l="1"/>
  <c r="I925" i="2"/>
  <c r="A924" i="2"/>
  <c r="B923" i="2"/>
  <c r="J925" i="2" l="1"/>
  <c r="I926" i="2"/>
  <c r="B924" i="2"/>
  <c r="A925" i="2"/>
  <c r="J926" i="2" l="1"/>
  <c r="I927" i="2"/>
  <c r="B925" i="2"/>
  <c r="A926" i="2"/>
  <c r="J927" i="2" l="1"/>
  <c r="I928" i="2"/>
  <c r="B926" i="2"/>
  <c r="A927" i="2"/>
  <c r="J928" i="2" l="1"/>
  <c r="I929" i="2"/>
  <c r="B927" i="2"/>
  <c r="A928" i="2"/>
  <c r="J929" i="2" l="1"/>
  <c r="I930" i="2"/>
  <c r="B928" i="2"/>
  <c r="A929" i="2"/>
  <c r="J930" i="2" l="1"/>
  <c r="I931" i="2"/>
  <c r="A930" i="2"/>
  <c r="B929" i="2"/>
  <c r="J931" i="2" l="1"/>
  <c r="I932" i="2"/>
  <c r="A931" i="2"/>
  <c r="B930" i="2"/>
  <c r="J932" i="2" l="1"/>
  <c r="I933" i="2"/>
  <c r="A932" i="2"/>
  <c r="B931" i="2"/>
  <c r="J933" i="2" l="1"/>
  <c r="I934" i="2"/>
  <c r="B932" i="2"/>
  <c r="A933" i="2"/>
  <c r="J934" i="2" l="1"/>
  <c r="I935" i="2"/>
  <c r="A934" i="2"/>
  <c r="B933" i="2"/>
  <c r="J935" i="2" l="1"/>
  <c r="I936" i="2"/>
  <c r="A935" i="2"/>
  <c r="B934" i="2"/>
  <c r="J936" i="2" l="1"/>
  <c r="I937" i="2"/>
  <c r="A936" i="2"/>
  <c r="B935" i="2"/>
  <c r="J937" i="2" l="1"/>
  <c r="I938" i="2"/>
  <c r="B936" i="2"/>
  <c r="A937" i="2"/>
  <c r="J938" i="2" l="1"/>
  <c r="I939" i="2"/>
  <c r="B937" i="2"/>
  <c r="A938" i="2"/>
  <c r="J939" i="2" l="1"/>
  <c r="I940" i="2"/>
  <c r="A939" i="2"/>
  <c r="B938" i="2"/>
  <c r="J940" i="2" l="1"/>
  <c r="I941" i="2"/>
  <c r="A940" i="2"/>
  <c r="B939" i="2"/>
  <c r="J941" i="2" l="1"/>
  <c r="I942" i="2"/>
  <c r="B940" i="2"/>
  <c r="A941" i="2"/>
  <c r="J942" i="2" l="1"/>
  <c r="I943" i="2"/>
  <c r="B941" i="2"/>
  <c r="A942" i="2"/>
  <c r="J943" i="2" l="1"/>
  <c r="I944" i="2"/>
  <c r="A943" i="2"/>
  <c r="B942" i="2"/>
  <c r="J944" i="2" l="1"/>
  <c r="I945" i="2"/>
  <c r="A944" i="2"/>
  <c r="B943" i="2"/>
  <c r="J945" i="2" l="1"/>
  <c r="I946" i="2"/>
  <c r="B944" i="2"/>
  <c r="A945" i="2"/>
  <c r="J946" i="2" l="1"/>
  <c r="I947" i="2"/>
  <c r="A946" i="2"/>
  <c r="B945" i="2"/>
  <c r="J947" i="2" l="1"/>
  <c r="I948" i="2"/>
  <c r="A947" i="2"/>
  <c r="B946" i="2"/>
  <c r="J948" i="2" l="1"/>
  <c r="I949" i="2"/>
  <c r="B947" i="2"/>
  <c r="A948" i="2"/>
  <c r="J949" i="2" l="1"/>
  <c r="I950" i="2"/>
  <c r="A949" i="2"/>
  <c r="B948" i="2"/>
  <c r="J950" i="2" l="1"/>
  <c r="I951" i="2"/>
  <c r="A950" i="2"/>
  <c r="B949" i="2"/>
  <c r="J951" i="2" l="1"/>
  <c r="I952" i="2"/>
  <c r="A951" i="2"/>
  <c r="B950" i="2"/>
  <c r="J952" i="2" l="1"/>
  <c r="I953" i="2"/>
  <c r="B951" i="2"/>
  <c r="A952" i="2"/>
  <c r="J953" i="2" l="1"/>
  <c r="I954" i="2"/>
  <c r="A953" i="2"/>
  <c r="B952" i="2"/>
  <c r="J954" i="2" l="1"/>
  <c r="I955" i="2"/>
  <c r="B953" i="2"/>
  <c r="A954" i="2"/>
  <c r="J955" i="2" l="1"/>
  <c r="I956" i="2"/>
  <c r="B954" i="2"/>
  <c r="A955" i="2"/>
  <c r="J956" i="2" l="1"/>
  <c r="I957" i="2"/>
  <c r="A956" i="2"/>
  <c r="B955" i="2"/>
  <c r="J957" i="2" l="1"/>
  <c r="I958" i="2"/>
  <c r="B956" i="2"/>
  <c r="A957" i="2"/>
  <c r="J958" i="2" l="1"/>
  <c r="I959" i="2"/>
  <c r="B957" i="2"/>
  <c r="A958" i="2"/>
  <c r="J959" i="2" l="1"/>
  <c r="I960" i="2"/>
  <c r="A959" i="2"/>
  <c r="B958" i="2"/>
  <c r="J960" i="2" l="1"/>
  <c r="I961" i="2"/>
  <c r="B959" i="2"/>
  <c r="A960" i="2"/>
  <c r="J961" i="2" l="1"/>
  <c r="I962" i="2"/>
  <c r="A961" i="2"/>
  <c r="B960" i="2"/>
  <c r="J962" i="2" l="1"/>
  <c r="I963" i="2"/>
  <c r="B961" i="2"/>
  <c r="A962" i="2"/>
  <c r="J963" i="2" l="1"/>
  <c r="I964" i="2"/>
  <c r="B962" i="2"/>
  <c r="A963" i="2"/>
  <c r="J964" i="2" l="1"/>
  <c r="I965" i="2"/>
  <c r="A964" i="2"/>
  <c r="B963" i="2"/>
  <c r="J965" i="2" l="1"/>
  <c r="I966" i="2"/>
  <c r="A965" i="2"/>
  <c r="B964" i="2"/>
  <c r="J966" i="2" l="1"/>
  <c r="I967" i="2"/>
  <c r="A966" i="2"/>
  <c r="B965" i="2"/>
  <c r="J967" i="2" l="1"/>
  <c r="I968" i="2"/>
  <c r="A967" i="2"/>
  <c r="B966" i="2"/>
  <c r="J968" i="2" l="1"/>
  <c r="I969" i="2"/>
  <c r="A968" i="2"/>
  <c r="B967" i="2"/>
  <c r="J969" i="2" l="1"/>
  <c r="I970" i="2"/>
  <c r="B968" i="2"/>
  <c r="A969" i="2"/>
  <c r="J970" i="2" l="1"/>
  <c r="I971" i="2"/>
  <c r="A970" i="2"/>
  <c r="B969" i="2"/>
  <c r="J971" i="2" l="1"/>
  <c r="I972" i="2"/>
  <c r="B970" i="2"/>
  <c r="A971" i="2"/>
  <c r="J972" i="2" l="1"/>
  <c r="I973" i="2"/>
  <c r="B971" i="2"/>
  <c r="A972" i="2"/>
  <c r="J973" i="2" l="1"/>
  <c r="I974" i="2"/>
  <c r="A973" i="2"/>
  <c r="B972" i="2"/>
  <c r="J974" i="2" l="1"/>
  <c r="I975" i="2"/>
  <c r="B973" i="2"/>
  <c r="A974" i="2"/>
  <c r="J975" i="2" l="1"/>
  <c r="I976" i="2"/>
  <c r="B974" i="2"/>
  <c r="A975" i="2"/>
  <c r="J976" i="2" l="1"/>
  <c r="I977" i="2"/>
  <c r="A976" i="2"/>
  <c r="B975" i="2"/>
  <c r="J977" i="2" l="1"/>
  <c r="I978" i="2"/>
  <c r="B976" i="2"/>
  <c r="A977" i="2"/>
  <c r="J978" i="2" l="1"/>
  <c r="I979" i="2"/>
  <c r="A978" i="2"/>
  <c r="B977" i="2"/>
  <c r="J979" i="2" l="1"/>
  <c r="I980" i="2"/>
  <c r="A979" i="2"/>
  <c r="B978" i="2"/>
  <c r="J980" i="2" l="1"/>
  <c r="I981" i="2"/>
  <c r="B979" i="2"/>
  <c r="A980" i="2"/>
  <c r="J981" i="2" l="1"/>
  <c r="I982" i="2"/>
  <c r="B980" i="2"/>
  <c r="A981" i="2"/>
  <c r="J982" i="2" l="1"/>
  <c r="I983" i="2"/>
  <c r="B981" i="2"/>
  <c r="A982" i="2"/>
  <c r="J983" i="2" l="1"/>
  <c r="I984" i="2"/>
  <c r="B982" i="2"/>
  <c r="A983" i="2"/>
  <c r="J984" i="2" l="1"/>
  <c r="I985" i="2"/>
  <c r="A984" i="2"/>
  <c r="B983" i="2"/>
  <c r="J985" i="2" l="1"/>
  <c r="I986" i="2"/>
  <c r="B984" i="2"/>
  <c r="A985" i="2"/>
  <c r="J986" i="2" l="1"/>
  <c r="I987" i="2"/>
  <c r="B985" i="2"/>
  <c r="A986" i="2"/>
  <c r="J987" i="2" l="1"/>
  <c r="I988" i="2"/>
  <c r="B986" i="2"/>
  <c r="A987" i="2"/>
  <c r="J988" i="2" l="1"/>
  <c r="I989" i="2"/>
  <c r="A988" i="2"/>
  <c r="B987" i="2"/>
  <c r="J989" i="2" l="1"/>
  <c r="I990" i="2"/>
  <c r="A989" i="2"/>
  <c r="B988" i="2"/>
  <c r="J990" i="2" l="1"/>
  <c r="I991" i="2"/>
  <c r="A990" i="2"/>
  <c r="B989" i="2"/>
  <c r="J991" i="2" l="1"/>
  <c r="I992" i="2"/>
  <c r="B990" i="2"/>
  <c r="A991" i="2"/>
  <c r="J992" i="2" l="1"/>
  <c r="I993" i="2"/>
  <c r="A992" i="2"/>
  <c r="B991" i="2"/>
  <c r="J993" i="2" l="1"/>
  <c r="I994" i="2"/>
  <c r="B992" i="2"/>
  <c r="A993" i="2"/>
  <c r="J994" i="2" l="1"/>
  <c r="I995" i="2"/>
  <c r="B993" i="2"/>
  <c r="A994" i="2"/>
  <c r="J995" i="2" l="1"/>
  <c r="I996" i="2"/>
  <c r="B994" i="2"/>
  <c r="A995" i="2"/>
  <c r="J996" i="2" l="1"/>
  <c r="I997" i="2"/>
  <c r="A996" i="2"/>
  <c r="B995" i="2"/>
  <c r="J997" i="2" l="1"/>
  <c r="I998" i="2"/>
  <c r="A997" i="2"/>
  <c r="B996" i="2"/>
  <c r="J998" i="2" l="1"/>
  <c r="I999" i="2"/>
  <c r="B997" i="2"/>
  <c r="A998" i="2"/>
  <c r="J999" i="2" l="1"/>
  <c r="I1000" i="2"/>
  <c r="B998" i="2"/>
  <c r="A999" i="2"/>
  <c r="J1000" i="2" l="1"/>
  <c r="I1001" i="2"/>
  <c r="A1000" i="2"/>
  <c r="B999" i="2"/>
  <c r="J1001" i="2" l="1"/>
  <c r="I1002" i="2"/>
  <c r="B1000" i="2"/>
  <c r="A1001" i="2"/>
  <c r="J1002" i="2" l="1"/>
  <c r="I1003" i="2"/>
  <c r="A1002" i="2"/>
  <c r="B1001" i="2"/>
  <c r="J1003" i="2" l="1"/>
  <c r="I1004" i="2"/>
  <c r="A1003" i="2"/>
  <c r="B1002" i="2"/>
  <c r="J1004" i="2" l="1"/>
  <c r="I1005" i="2"/>
  <c r="B1003" i="2"/>
  <c r="A1004" i="2"/>
  <c r="J1005" i="2" l="1"/>
  <c r="I1006" i="2"/>
  <c r="A1005" i="2"/>
  <c r="B1004" i="2"/>
  <c r="J1006" i="2" l="1"/>
  <c r="I1007" i="2"/>
  <c r="B1005" i="2"/>
  <c r="A1006" i="2"/>
  <c r="J1007" i="2" l="1"/>
  <c r="I1008" i="2"/>
  <c r="A1007" i="2"/>
  <c r="B1006" i="2"/>
  <c r="J1008" i="2" l="1"/>
  <c r="I1009" i="2"/>
  <c r="A1008" i="2"/>
  <c r="B1007" i="2"/>
  <c r="J1009" i="2" l="1"/>
  <c r="I1010" i="2"/>
  <c r="A1009" i="2"/>
  <c r="B1008" i="2"/>
  <c r="J1010" i="2" l="1"/>
  <c r="I1011" i="2"/>
  <c r="B1009" i="2"/>
  <c r="A1010" i="2"/>
  <c r="J1011" i="2" l="1"/>
  <c r="I1012" i="2"/>
  <c r="B1010" i="2"/>
  <c r="A1011" i="2"/>
  <c r="J1012" i="2" l="1"/>
  <c r="I1013" i="2"/>
  <c r="A1012" i="2"/>
  <c r="B1011" i="2"/>
  <c r="J1013" i="2" l="1"/>
  <c r="I1014" i="2"/>
  <c r="B1012" i="2"/>
  <c r="A1013" i="2"/>
  <c r="J1014" i="2" l="1"/>
  <c r="I1015" i="2"/>
  <c r="B1013" i="2"/>
  <c r="A1014" i="2"/>
  <c r="J1015" i="2" l="1"/>
  <c r="I1016" i="2"/>
  <c r="B1014" i="2"/>
  <c r="A1015" i="2"/>
  <c r="J1016" i="2" l="1"/>
  <c r="I1017" i="2"/>
  <c r="A1016" i="2"/>
  <c r="B1015" i="2"/>
  <c r="J1017" i="2" l="1"/>
  <c r="I1018" i="2"/>
  <c r="A1017" i="2"/>
  <c r="B1016" i="2"/>
  <c r="J1018" i="2" l="1"/>
  <c r="I1019" i="2"/>
  <c r="A1018" i="2"/>
  <c r="B1017" i="2"/>
  <c r="J1019" i="2" l="1"/>
  <c r="I1020" i="2"/>
  <c r="B1018" i="2"/>
  <c r="A1019" i="2"/>
  <c r="J1020" i="2" l="1"/>
  <c r="I1021" i="2"/>
  <c r="B1019" i="2"/>
  <c r="A1020" i="2"/>
  <c r="J1021" i="2" l="1"/>
  <c r="I1022" i="2"/>
  <c r="A1021" i="2"/>
  <c r="B1020" i="2"/>
  <c r="J1022" i="2" l="1"/>
  <c r="I1023" i="2"/>
  <c r="B1021" i="2"/>
  <c r="A1022" i="2"/>
  <c r="J1023" i="2" l="1"/>
  <c r="I1024" i="2"/>
  <c r="B1022" i="2"/>
  <c r="A1023" i="2"/>
  <c r="J1024" i="2" l="1"/>
  <c r="I1025" i="2"/>
  <c r="B1023" i="2"/>
  <c r="A1024" i="2"/>
  <c r="J1025" i="2" l="1"/>
  <c r="I1026" i="2"/>
  <c r="B1024" i="2"/>
  <c r="A1025" i="2"/>
  <c r="J1026" i="2" l="1"/>
  <c r="I1027" i="2"/>
  <c r="B1025" i="2"/>
  <c r="A1026" i="2"/>
  <c r="J1027" i="2" l="1"/>
  <c r="I1028" i="2"/>
  <c r="B1026" i="2"/>
  <c r="A1027" i="2"/>
  <c r="J1028" i="2" l="1"/>
  <c r="I1029" i="2"/>
  <c r="B1027" i="2"/>
  <c r="A1028" i="2"/>
  <c r="J1029" i="2" l="1"/>
  <c r="I1030" i="2"/>
  <c r="A1029" i="2"/>
  <c r="B1028" i="2"/>
  <c r="J1030" i="2" l="1"/>
  <c r="I1031" i="2"/>
  <c r="B1029" i="2"/>
  <c r="A1030" i="2"/>
  <c r="J1031" i="2" l="1"/>
  <c r="I1032" i="2"/>
  <c r="B1030" i="2"/>
  <c r="A1031" i="2"/>
  <c r="J1032" i="2" l="1"/>
  <c r="I1033" i="2"/>
  <c r="A1032" i="2"/>
  <c r="B1031" i="2"/>
  <c r="J1033" i="2" l="1"/>
  <c r="I1034" i="2"/>
  <c r="B1032" i="2"/>
  <c r="A1033" i="2"/>
  <c r="J1034" i="2" l="1"/>
  <c r="I1035" i="2"/>
  <c r="A1034" i="2"/>
  <c r="B1033" i="2"/>
  <c r="J1035" i="2" l="1"/>
  <c r="I1036" i="2"/>
  <c r="B1034" i="2"/>
  <c r="A1035" i="2"/>
  <c r="J1036" i="2" l="1"/>
  <c r="I1037" i="2"/>
  <c r="A1036" i="2"/>
  <c r="B1035" i="2"/>
  <c r="J1037" i="2" l="1"/>
  <c r="I1038" i="2"/>
  <c r="B1036" i="2"/>
  <c r="A1037" i="2"/>
  <c r="J1038" i="2" l="1"/>
  <c r="I1039" i="2"/>
  <c r="B1037" i="2"/>
  <c r="A1038" i="2"/>
  <c r="J1039" i="2" l="1"/>
  <c r="I1040" i="2"/>
  <c r="A1039" i="2"/>
  <c r="B1038" i="2"/>
  <c r="J1040" i="2" l="1"/>
  <c r="I1041" i="2"/>
  <c r="A1040" i="2"/>
  <c r="B1039" i="2"/>
  <c r="J1041" i="2" l="1"/>
  <c r="I1042" i="2"/>
  <c r="A1041" i="2"/>
  <c r="B1040" i="2"/>
  <c r="J1042" i="2" l="1"/>
  <c r="I1043" i="2"/>
  <c r="B1041" i="2"/>
  <c r="A1042" i="2"/>
  <c r="J1043" i="2" l="1"/>
  <c r="I1044" i="2"/>
  <c r="A1043" i="2"/>
  <c r="B1042" i="2"/>
  <c r="J1044" i="2" l="1"/>
  <c r="I1045" i="2"/>
  <c r="B1043" i="2"/>
  <c r="A1044" i="2"/>
  <c r="J1045" i="2" l="1"/>
  <c r="I1046" i="2"/>
  <c r="B1044" i="2"/>
  <c r="A1045" i="2"/>
  <c r="J1046" i="2" l="1"/>
  <c r="I1047" i="2"/>
  <c r="B1045" i="2"/>
  <c r="A1046" i="2"/>
  <c r="J1047" i="2" l="1"/>
  <c r="I1048" i="2"/>
  <c r="A1047" i="2"/>
  <c r="B1046" i="2"/>
  <c r="J1048" i="2" l="1"/>
  <c r="I1049" i="2"/>
  <c r="B1047" i="2"/>
  <c r="A1048" i="2"/>
  <c r="J1049" i="2" l="1"/>
  <c r="I1050" i="2"/>
  <c r="A1049" i="2"/>
  <c r="B1048" i="2"/>
  <c r="J1050" i="2" l="1"/>
  <c r="I1051" i="2"/>
  <c r="A1050" i="2"/>
  <c r="B1049" i="2"/>
  <c r="J1051" i="2" l="1"/>
  <c r="I1052" i="2"/>
  <c r="A1051" i="2"/>
  <c r="B1050" i="2"/>
  <c r="J1052" i="2" l="1"/>
  <c r="I1053" i="2"/>
  <c r="A1052" i="2"/>
  <c r="B1051" i="2"/>
  <c r="J1053" i="2" l="1"/>
  <c r="I1054" i="2"/>
  <c r="A1053" i="2"/>
  <c r="B1052" i="2"/>
  <c r="J1054" i="2" l="1"/>
  <c r="I1055" i="2"/>
  <c r="A1054" i="2"/>
  <c r="B1053" i="2"/>
  <c r="J1055" i="2" l="1"/>
  <c r="I1056" i="2"/>
  <c r="A1055" i="2"/>
  <c r="B1054" i="2"/>
  <c r="J1056" i="2" l="1"/>
  <c r="I1057" i="2"/>
  <c r="B1055" i="2"/>
  <c r="A1056" i="2"/>
  <c r="J1057" i="2" l="1"/>
  <c r="I1058" i="2"/>
  <c r="A1057" i="2"/>
  <c r="B1056" i="2"/>
  <c r="J1058" i="2" l="1"/>
  <c r="I1059" i="2"/>
  <c r="A1058" i="2"/>
  <c r="B1057" i="2"/>
  <c r="J1059" i="2" l="1"/>
  <c r="I1060" i="2"/>
  <c r="A1059" i="2"/>
  <c r="B1058" i="2"/>
  <c r="J1060" i="2" l="1"/>
  <c r="I1061" i="2"/>
  <c r="A1060" i="2"/>
  <c r="B1059" i="2"/>
  <c r="J1061" i="2" l="1"/>
  <c r="I1062" i="2"/>
  <c r="B1060" i="2"/>
  <c r="A1061" i="2"/>
  <c r="J1062" i="2" l="1"/>
  <c r="I1063" i="2"/>
  <c r="B1061" i="2"/>
  <c r="A1062" i="2"/>
  <c r="J1063" i="2" l="1"/>
  <c r="I1064" i="2"/>
  <c r="B1062" i="2"/>
  <c r="A1063" i="2"/>
  <c r="J1064" i="2" l="1"/>
  <c r="I1065" i="2"/>
  <c r="J1065" i="2" s="1"/>
  <c r="A1064" i="2"/>
  <c r="B1063" i="2"/>
  <c r="B1064" i="2" l="1"/>
  <c r="A1065" i="2"/>
  <c r="B1065" i="2" l="1"/>
  <c r="A1066" i="2"/>
  <c r="A1067" i="2" l="1"/>
  <c r="B1066" i="2"/>
  <c r="B1067" i="2" l="1"/>
  <c r="A1068" i="2"/>
  <c r="A1069" i="2" l="1"/>
  <c r="B1068" i="2"/>
  <c r="A1070" i="2" l="1"/>
  <c r="B1069" i="2"/>
  <c r="B1070" i="2" l="1"/>
  <c r="A1071" i="2"/>
  <c r="A1072" i="2" l="1"/>
  <c r="B1071" i="2"/>
  <c r="B1072" i="2" l="1"/>
  <c r="A1073" i="2"/>
  <c r="B1073" i="2" l="1"/>
  <c r="A1074" i="2"/>
  <c r="B1074" i="2" l="1"/>
  <c r="A1075" i="2"/>
  <c r="B1075" i="2" l="1"/>
  <c r="A1076" i="2"/>
  <c r="A1077" i="2" l="1"/>
  <c r="B1076" i="2"/>
  <c r="B1077" i="2" l="1"/>
  <c r="A1078" i="2"/>
  <c r="B1078" i="2" s="1"/>
</calcChain>
</file>

<file path=xl/sharedStrings.xml><?xml version="1.0" encoding="utf-8"?>
<sst xmlns="http://schemas.openxmlformats.org/spreadsheetml/2006/main" count="2062" uniqueCount="26">
  <si>
    <t>mg/L</t>
  </si>
  <si>
    <t>DS Node Cl Concen.</t>
  </si>
  <si>
    <t>US Node Cl Concen.</t>
  </si>
  <si>
    <t>Pipe Length</t>
  </si>
  <si>
    <t>ft</t>
  </si>
  <si>
    <t>Pipe Velocity</t>
  </si>
  <si>
    <t>ft/sec</t>
  </si>
  <si>
    <t>Time-Step</t>
  </si>
  <si>
    <t>sec</t>
  </si>
  <si>
    <t>No. of Segments</t>
  </si>
  <si>
    <t>Segments</t>
  </si>
  <si>
    <t>Total Simulation Duration</t>
  </si>
  <si>
    <t>minutes</t>
  </si>
  <si>
    <t>No. of Time-steps</t>
  </si>
  <si>
    <t>Actual Segment Size</t>
  </si>
  <si>
    <t>Initial Segment Size</t>
  </si>
  <si>
    <t>US Node</t>
  </si>
  <si>
    <t>Initial Pipe Concen.</t>
  </si>
  <si>
    <t>Calculations at t+1 =</t>
  </si>
  <si>
    <t>Bulk Decay Coefficient</t>
  </si>
  <si>
    <t>1/day</t>
  </si>
  <si>
    <t>Concentrations at t =</t>
  </si>
  <si>
    <t>- This Excel file models the chlorine evolution in one pipe connected by two nodes.
- Discretization method used is the Upwind scheme.
- Reaction dynamics are based on the single-species model.
Author: Salma M. Elsherif.
Date: June 2024.</t>
  </si>
  <si>
    <t>Courant Number</t>
  </si>
  <si>
    <t>DS Node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</si>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</sst>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sz val="13"/>
      <color theme="4" tint="-0.499984740745262"/>
      <name val="Times New Roman"/>
      <family val="1"/>
    </font>
    <font>
      <sz val="14"/>
      <color theme="4" tint="-0.499984740745262"/>
      <name val="Times New Roman"/>
      <family val="1"/>
    </font>
    <font>
      <b/>
      <sz val="13"/>
      <color theme="4" tint="-0.499984740745262"/>
      <name val="Times New Roman"/>
      <family val="1"/>
    </font>
    <font>
      <b/>
      <sz val="14"/>
      <color theme="4" tint="-0.499984740745262"/>
      <name val="Times New Roman"/>
      <family val="1"/>
    </font>
    <font>
      <b/>
      <sz val="13"/>
      <color theme="3"/>
      <name val="Times New Roman"/>
      <family val="1"/>
    </font>
    <font>
      <sz val="11"/>
      <color theme="4" tint="-0.499984740745262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0"/>
      <name val="Times New Roman"/>
      <family val="1"/>
    </font>
    <font>
      <b/>
      <sz val="11"/>
      <color rgb="FF000000"/>
      <name val="Times"/>
    </font>
    <font>
      <b/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9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2" fillId="0" borderId="0" xfId="0" applyFont="1"/>
    <xf numFmtId="164" fontId="11" fillId="0" borderId="0" xfId="0" applyNumberFormat="1" applyFont="1" applyAlignment="1">
      <alignment horizontal="center" vertical="center"/>
    </xf>
    <xf numFmtId="0" fontId="7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9" fontId="9" fillId="3" borderId="1" xfId="1" applyNumberFormat="1" applyFont="1" applyFill="1" applyAlignment="1">
      <alignment horizontal="left" vertical="top" wrapText="1"/>
    </xf>
  </cellXfs>
  <cellStyles count="2">
    <cellStyle name="Heading 2" xfId="1" builtinId="17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….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317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strRef>
              <c:f>ConcentrationsCalculations!$I$2:$I$1065</c:f>
              <c:strCache>
                <c:ptCount val="62"/>
                <c:pt idx="0">
                  <c:v>US Node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DS Node</c:v>
                </c:pt>
              </c:strCache>
            </c:strRef>
          </c:xVal>
          <c:yVal>
            <c:numRef>
              <c:f>ConcentrationsCalculations!$J$2:$J$1065</c:f>
              <c:numCache>
                <c:formatCode>0.00000</c:formatCode>
                <c:ptCount val="1064"/>
                <c:pt idx="0" formatCode="General">
                  <c:v>2</c:v>
                </c:pt>
                <c:pt idx="1">
                  <c:v>1.999988425925926</c:v>
                </c:pt>
                <c:pt idx="2">
                  <c:v>0.19998842592592594</c:v>
                </c:pt>
                <c:pt idx="3">
                  <c:v>0.19998842592592594</c:v>
                </c:pt>
                <c:pt idx="4">
                  <c:v>0.19998842592592594</c:v>
                </c:pt>
                <c:pt idx="5">
                  <c:v>0.19998842592592594</c:v>
                </c:pt>
                <c:pt idx="6">
                  <c:v>0.19998842592592594</c:v>
                </c:pt>
                <c:pt idx="7">
                  <c:v>0.19998842592592594</c:v>
                </c:pt>
                <c:pt idx="8">
                  <c:v>0.19998842592592594</c:v>
                </c:pt>
                <c:pt idx="9">
                  <c:v>0.19998842592592594</c:v>
                </c:pt>
                <c:pt idx="10">
                  <c:v>0.19998842592592594</c:v>
                </c:pt>
                <c:pt idx="11">
                  <c:v>0.19998842592592594</c:v>
                </c:pt>
                <c:pt idx="12">
                  <c:v>0.19998842592592594</c:v>
                </c:pt>
                <c:pt idx="13">
                  <c:v>0.19998842592592594</c:v>
                </c:pt>
                <c:pt idx="14">
                  <c:v>0.19998842592592594</c:v>
                </c:pt>
                <c:pt idx="15">
                  <c:v>0.19998842592592594</c:v>
                </c:pt>
                <c:pt idx="16">
                  <c:v>0.19998842592592594</c:v>
                </c:pt>
                <c:pt idx="17">
                  <c:v>0.19998842592592594</c:v>
                </c:pt>
                <c:pt idx="18">
                  <c:v>0.19998842592592594</c:v>
                </c:pt>
                <c:pt idx="19">
                  <c:v>0.19998842592592594</c:v>
                </c:pt>
                <c:pt idx="20">
                  <c:v>0.19998842592592594</c:v>
                </c:pt>
                <c:pt idx="21">
                  <c:v>0.19998842592592594</c:v>
                </c:pt>
                <c:pt idx="22">
                  <c:v>0.19998842592592594</c:v>
                </c:pt>
                <c:pt idx="23">
                  <c:v>0.19998842592592594</c:v>
                </c:pt>
                <c:pt idx="24">
                  <c:v>0.19998842592592594</c:v>
                </c:pt>
                <c:pt idx="25">
                  <c:v>0.19998842592592594</c:v>
                </c:pt>
                <c:pt idx="26">
                  <c:v>0.19998842592592594</c:v>
                </c:pt>
                <c:pt idx="27">
                  <c:v>0.19998842592592594</c:v>
                </c:pt>
                <c:pt idx="28">
                  <c:v>0.19998842592592594</c:v>
                </c:pt>
                <c:pt idx="29">
                  <c:v>0.19998842592592594</c:v>
                </c:pt>
                <c:pt idx="30">
                  <c:v>0.19998842592592594</c:v>
                </c:pt>
                <c:pt idx="31">
                  <c:v>0.19998842592592594</c:v>
                </c:pt>
                <c:pt idx="32">
                  <c:v>0.19998842592592594</c:v>
                </c:pt>
                <c:pt idx="33">
                  <c:v>0.19998842592592594</c:v>
                </c:pt>
                <c:pt idx="34">
                  <c:v>0.19998842592592594</c:v>
                </c:pt>
                <c:pt idx="35">
                  <c:v>0.19998842592592594</c:v>
                </c:pt>
                <c:pt idx="36">
                  <c:v>0.19998842592592594</c:v>
                </c:pt>
                <c:pt idx="37">
                  <c:v>0.19998842592592594</c:v>
                </c:pt>
                <c:pt idx="38">
                  <c:v>0.19998842592592594</c:v>
                </c:pt>
                <c:pt idx="39">
                  <c:v>0.19998842592592594</c:v>
                </c:pt>
                <c:pt idx="40">
                  <c:v>0.19998842592592594</c:v>
                </c:pt>
                <c:pt idx="41">
                  <c:v>0.19998842592592594</c:v>
                </c:pt>
                <c:pt idx="42">
                  <c:v>0.19998842592592594</c:v>
                </c:pt>
                <c:pt idx="43">
                  <c:v>0.19998842592592594</c:v>
                </c:pt>
                <c:pt idx="44">
                  <c:v>0.19998842592592594</c:v>
                </c:pt>
                <c:pt idx="45">
                  <c:v>0.19998842592592594</c:v>
                </c:pt>
                <c:pt idx="46">
                  <c:v>0.19998842592592594</c:v>
                </c:pt>
                <c:pt idx="47">
                  <c:v>0.19998842592592594</c:v>
                </c:pt>
                <c:pt idx="48">
                  <c:v>0.19998842592592594</c:v>
                </c:pt>
                <c:pt idx="49">
                  <c:v>0.19998842592592594</c:v>
                </c:pt>
                <c:pt idx="50">
                  <c:v>0.19998842592592594</c:v>
                </c:pt>
                <c:pt idx="51">
                  <c:v>0.19998842592592594</c:v>
                </c:pt>
                <c:pt idx="52">
                  <c:v>0.19998842592592594</c:v>
                </c:pt>
                <c:pt idx="53">
                  <c:v>0.19998842592592594</c:v>
                </c:pt>
                <c:pt idx="54">
                  <c:v>0.19998842592592594</c:v>
                </c:pt>
                <c:pt idx="55">
                  <c:v>0.19998842592592594</c:v>
                </c:pt>
                <c:pt idx="56">
                  <c:v>0.19998842592592594</c:v>
                </c:pt>
                <c:pt idx="57">
                  <c:v>0.19998842592592594</c:v>
                </c:pt>
                <c:pt idx="58">
                  <c:v>0.19998842592592594</c:v>
                </c:pt>
                <c:pt idx="59">
                  <c:v>0.19998842592592594</c:v>
                </c:pt>
                <c:pt idx="60">
                  <c:v>0.19998842592592594</c:v>
                </c:pt>
                <c:pt idx="61">
                  <c:v>0.19998842592592594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C-4ADF-A278-EDAAF63C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052367"/>
        <c:axId val="1114548207"/>
      </c:scatterChart>
      <c:valAx>
        <c:axId val="1044052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 Node - Segments - DS Node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548207"/>
        <c:crosses val="autoZero"/>
        <c:crossBetween val="midCat"/>
      </c:valAx>
      <c:valAx>
        <c:axId val="111454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 Conc. (mg/L)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052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478367</xdr:colOff>
          <xdr:row>5</xdr:row>
          <xdr:rowOff>0</xdr:rowOff>
        </xdr:from>
        <xdr:to>
          <xdr:col>12</xdr:col>
          <xdr:colOff>431800</xdr:colOff>
          <xdr:row>8</xdr:row>
          <xdr:rowOff>135467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Start Simulation Over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484717</xdr:colOff>
      <xdr:row>20</xdr:row>
      <xdr:rowOff>93133</xdr:rowOff>
    </xdr:from>
    <xdr:to>
      <xdr:col>21</xdr:col>
      <xdr:colOff>0</xdr:colOff>
      <xdr:row>42</xdr:row>
      <xdr:rowOff>160866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465667</xdr:colOff>
          <xdr:row>9</xdr:row>
          <xdr:rowOff>165100</xdr:rowOff>
        </xdr:from>
        <xdr:to>
          <xdr:col>12</xdr:col>
          <xdr:colOff>419100</xdr:colOff>
          <xdr:row>13</xdr:row>
          <xdr:rowOff>122767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Next Time-Step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461433</xdr:colOff>
          <xdr:row>15</xdr:row>
          <xdr:rowOff>12700</xdr:rowOff>
        </xdr:from>
        <xdr:to>
          <xdr:col>12</xdr:col>
          <xdr:colOff>414867</xdr:colOff>
          <xdr:row>18</xdr:row>
          <xdr:rowOff>148167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till the End of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19"/>
  <sheetViews>
    <sheetView showGridLines="0" tabSelected="1" workbookViewId="0">
      <selection activeCell="B6" sqref="B6"/>
    </sheetView>
  </sheetViews>
  <sheetFormatPr defaultColWidth="0" defaultRowHeight="17.7" zeroHeight="1" x14ac:dyDescent="0.55000000000000004"/>
  <cols>
    <col min="1" max="1" width="30.46875" style="6" customWidth="1"/>
    <col min="2" max="2" width="8.9375" style="5" customWidth="1"/>
    <col min="3" max="3" width="10.64453125" style="4" customWidth="1"/>
    <col min="4" max="17" width="0" style="3" hidden="1"/>
    <col min="18" max="16382" width="8.9375" style="3" hidden="1"/>
    <col min="16383" max="16383" width="4.17578125" style="3" hidden="1" customWidth="1"/>
    <col min="16384" max="16384" width="7.1171875" style="3" hidden="1" customWidth="1"/>
  </cols>
  <sheetData>
    <row r="1" spans="1:17" ht="22" customHeight="1" thickBot="1" x14ac:dyDescent="0.6">
      <c r="A1" s="18" t="s">
        <v>22</v>
      </c>
      <c r="B1" s="18"/>
      <c r="C1" s="18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22" customHeight="1" thickTop="1" thickBot="1" x14ac:dyDescent="0.6">
      <c r="A2" s="18"/>
      <c r="B2" s="18"/>
      <c r="C2" s="18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22" customHeight="1" thickTop="1" thickBot="1" x14ac:dyDescent="0.6">
      <c r="A3" s="18"/>
      <c r="B3" s="18"/>
      <c r="C3" s="18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22" customHeight="1" thickTop="1" thickBot="1" x14ac:dyDescent="0.6">
      <c r="A4" s="18"/>
      <c r="B4" s="18"/>
      <c r="C4" s="1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59" customHeight="1" thickTop="1" thickBot="1" x14ac:dyDescent="0.6">
      <c r="A5" s="18"/>
      <c r="B5" s="18"/>
      <c r="C5" s="18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22" customHeight="1" thickTop="1" x14ac:dyDescent="0.55000000000000004">
      <c r="A6" s="14" t="s">
        <v>2</v>
      </c>
      <c r="B6" s="15">
        <v>2</v>
      </c>
      <c r="C6" s="16" t="s">
        <v>0</v>
      </c>
    </row>
    <row r="7" spans="1:17" ht="22" customHeight="1" x14ac:dyDescent="0.55000000000000004">
      <c r="A7" s="14" t="s">
        <v>17</v>
      </c>
      <c r="B7" s="15">
        <v>0.2</v>
      </c>
      <c r="C7" s="16" t="s">
        <v>0</v>
      </c>
    </row>
    <row r="8" spans="1:17" ht="22" customHeight="1" x14ac:dyDescent="0.55000000000000004">
      <c r="A8" s="14" t="s">
        <v>1</v>
      </c>
      <c r="B8" s="17">
        <f>B7</f>
        <v>0.2</v>
      </c>
      <c r="C8" s="16" t="s">
        <v>0</v>
      </c>
    </row>
    <row r="9" spans="1:17" ht="22" customHeight="1" x14ac:dyDescent="0.55000000000000004">
      <c r="A9" s="14" t="s">
        <v>3</v>
      </c>
      <c r="B9" s="15">
        <v>600</v>
      </c>
      <c r="C9" s="16" t="s">
        <v>4</v>
      </c>
    </row>
    <row r="10" spans="1:17" ht="22" customHeight="1" x14ac:dyDescent="0.55000000000000004">
      <c r="A10" s="14" t="s">
        <v>5</v>
      </c>
      <c r="B10" s="15">
        <v>2</v>
      </c>
      <c r="C10" s="16" t="s">
        <v>6</v>
      </c>
    </row>
    <row r="11" spans="1:17" ht="22" customHeight="1" x14ac:dyDescent="0.55000000000000004">
      <c r="A11" s="14" t="s">
        <v>19</v>
      </c>
      <c r="B11" s="15">
        <v>1</v>
      </c>
      <c r="C11" s="16" t="s">
        <v>20</v>
      </c>
    </row>
    <row r="12" spans="1:17" ht="22" customHeight="1" x14ac:dyDescent="0.55000000000000004">
      <c r="A12" s="14" t="s">
        <v>7</v>
      </c>
      <c r="B12" s="15">
        <v>5</v>
      </c>
      <c r="C12" s="16" t="s">
        <v>8</v>
      </c>
    </row>
    <row r="13" spans="1:17" ht="22" customHeight="1" x14ac:dyDescent="0.55000000000000004">
      <c r="A13" s="14" t="s">
        <v>11</v>
      </c>
      <c r="B13" s="15">
        <v>6</v>
      </c>
      <c r="C13" s="16" t="s">
        <v>12</v>
      </c>
    </row>
    <row r="14" spans="1:17" ht="22" customHeight="1" x14ac:dyDescent="0.55000000000000004">
      <c r="A14" s="14" t="s">
        <v>13</v>
      </c>
      <c r="B14" s="17">
        <f>B13*60/B12</f>
        <v>72</v>
      </c>
      <c r="C14" s="16"/>
    </row>
    <row r="15" spans="1:17" ht="22" customHeight="1" x14ac:dyDescent="0.55000000000000004">
      <c r="A15" s="14"/>
      <c r="B15" s="17"/>
      <c r="C15" s="16"/>
    </row>
    <row r="16" spans="1:17" ht="22" customHeight="1" x14ac:dyDescent="0.55000000000000004">
      <c r="A16" s="14" t="s">
        <v>15</v>
      </c>
      <c r="B16" s="17">
        <f>B10*B12</f>
        <v>10</v>
      </c>
      <c r="C16" s="16" t="s">
        <v>4</v>
      </c>
    </row>
    <row r="17" spans="1:3" ht="22" customHeight="1" x14ac:dyDescent="0.55000000000000004">
      <c r="A17" s="14" t="s">
        <v>9</v>
      </c>
      <c r="B17" s="17">
        <f>MAX(ROUNDDOWN(B9/B16,0),1)</f>
        <v>60</v>
      </c>
      <c r="C17" s="16" t="s">
        <v>10</v>
      </c>
    </row>
    <row r="18" spans="1:3" ht="22" customHeight="1" x14ac:dyDescent="0.55000000000000004">
      <c r="A18" s="14" t="s">
        <v>14</v>
      </c>
      <c r="B18" s="17">
        <f>B9/B17</f>
        <v>10</v>
      </c>
      <c r="C18" s="16" t="s">
        <v>4</v>
      </c>
    </row>
    <row r="19" spans="1:3" ht="22" customHeight="1" x14ac:dyDescent="0.55000000000000004">
      <c r="A19" s="14" t="s">
        <v>23</v>
      </c>
      <c r="B19" s="17">
        <f>B10*B12/B18</f>
        <v>1</v>
      </c>
      <c r="C19" s="17" t="str">
        <f>IF(AND(B19&gt;0,B19&lt;=1),"Satisfied","Change Time-Step")</f>
        <v>Satisfied</v>
      </c>
    </row>
  </sheetData>
  <sheetProtection algorithmName="SHA-512" hashValue="AQuOTYdC9EvB+CNAs5vj8ZrBoMp40qcpY5FZIxL+/SivBp02Yl/UdxxjoP1PyntWEJ9nJnUBWBJMQCgxT5GihQ==" saltValue="h294lVpZZN0brUmPNWlQVg==" spinCount="100000" sheet="1" objects="1" scenarios="1" selectLockedCells="1"/>
  <protectedRanges>
    <protectedRange algorithmName="SHA-512" hashValue="LmIAMi4TOZRzRxTvLyC6Zvn3uuce9h13p1jCOZs/l8UEbFFf6chxsYEdK0GwTlw1hTAN/LEyV2nB7b+lFBJmeA==" saltValue="fA1E9yJdrxaK9cBdPhVapQ==" spinCount="100000" sqref="A1" name="Range1"/>
  </protectedRanges>
  <mergeCells count="1">
    <mergeCell ref="A1:C5"/>
  </mergeCells>
  <conditionalFormatting sqref="C19">
    <cfRule type="cellIs" dxfId="3" priority="1" operator="equal">
      <formula>"Satisfied"</formula>
    </cfRule>
    <cfRule type="cellIs" dxfId="2" priority="2" operator="equal">
      <formula>"Change Time-Step"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0826A-8452-4F7A-8BEF-715C0634D5CD}">
  <sheetPr codeName="Sheet2"/>
  <dimension ref="A1:U1078"/>
  <sheetViews>
    <sheetView showGridLines="0" workbookViewId="0">
      <selection activeCell="O5" sqref="O5"/>
    </sheetView>
  </sheetViews>
  <sheetFormatPr defaultColWidth="0" defaultRowHeight="14.35" x14ac:dyDescent="0.5"/>
  <cols>
    <col min="1" max="1" width="20.05859375" style="1" customWidth="1"/>
    <col min="2" max="2" width="8.9375" style="1" customWidth="1"/>
    <col min="3" max="3" width="4.46875" style="1" customWidth="1"/>
    <col min="4" max="4" width="4.8203125" style="1" customWidth="1"/>
    <col min="5" max="5" width="20.05859375" style="1" customWidth="1"/>
    <col min="6" max="6" width="8.9375" style="1" customWidth="1"/>
    <col min="7" max="7" width="4.29296875" customWidth="1"/>
    <col min="8" max="8" width="4.41015625" customWidth="1"/>
    <col min="9" max="9" width="22.9375" style="1" customWidth="1"/>
    <col min="10" max="10" width="11.234375" style="1" bestFit="1" customWidth="1"/>
    <col min="11" max="11" width="14.5859375" style="1" bestFit="1" customWidth="1"/>
    <col min="12" max="13" width="8.9375" style="1" customWidth="1"/>
    <col min="14" max="14" width="2.76171875" style="1" customWidth="1"/>
    <col min="15" max="18" width="8.9375" style="1" customWidth="1"/>
    <col min="19" max="19" width="8.9375" style="1" hidden="1" customWidth="1"/>
    <col min="20" max="21" width="8.9375" style="1" customWidth="1"/>
    <col min="22" max="16384" width="8.9375" style="1" hidden="1"/>
  </cols>
  <sheetData>
    <row r="1" spans="1:14" ht="16.350000000000001" x14ac:dyDescent="0.5">
      <c r="A1" s="10" t="s">
        <v>21</v>
      </c>
      <c r="B1" s="11">
        <v>0</v>
      </c>
      <c r="E1" s="10" t="s">
        <v>21</v>
      </c>
      <c r="F1" s="11">
        <v>0</v>
      </c>
      <c r="I1" s="10" t="s">
        <v>18</v>
      </c>
      <c r="J1" s="11">
        <f>F1+1</f>
        <v>1</v>
      </c>
      <c r="K1" s="9" t="str">
        <f>IF(J1&lt;'Characteristics&amp;Parameters'!$B$14,"Continue","End of Simulation")</f>
        <v>Continue</v>
      </c>
      <c r="N1" s="12">
        <v>19</v>
      </c>
    </row>
    <row r="2" spans="1:14" x14ac:dyDescent="0.5">
      <c r="A2" s="7" t="s">
        <v>16</v>
      </c>
      <c r="B2" s="8">
        <f>'Characteristics&amp;Parameters'!$B$6</f>
        <v>2</v>
      </c>
      <c r="C2" s="8"/>
      <c r="E2" s="7" t="s">
        <v>16</v>
      </c>
      <c r="F2" s="8">
        <v>2</v>
      </c>
      <c r="I2" s="7" t="s">
        <v>16</v>
      </c>
      <c r="J2" s="8">
        <f>'Characteristics&amp;Parameters'!$B$6</f>
        <v>2</v>
      </c>
    </row>
    <row r="3" spans="1:14" x14ac:dyDescent="0.5">
      <c r="A3" s="7">
        <v>1</v>
      </c>
      <c r="B3" s="8">
        <f>IF(A3&lt;='Characteristics&amp;Parameters'!$B$17,'Characteristics&amp;Parameters'!$B$7,IF(ConcentrationsCalculations!A3="DS Node",'Characteristics&amp;Parameters'!$B$8,""))</f>
        <v>0.2</v>
      </c>
      <c r="C3" s="8"/>
      <c r="E3" s="7">
        <v>1</v>
      </c>
      <c r="F3" s="8">
        <v>0.2</v>
      </c>
      <c r="I3" s="7">
        <v>1</v>
      </c>
      <c r="J3" s="13">
        <f>IF(I3="DS Node",'Characteristics&amp;Parameters'!$B$8,IF(I3&lt;='Characteristics&amp;Parameters'!$B$17,((1-'Characteristics&amp;Parameters'!$B$19)*ConcentrationsCalculations!F3+'Characteristics&amp;Parameters'!$B$19*ConcentrationsCalculations!F2-F3/86400*'Characteristics&amp;Parameters'!$B$11*'Characteristics&amp;Parameters'!$B$12),""))</f>
        <v>1.999988425925926</v>
      </c>
    </row>
    <row r="4" spans="1:14" x14ac:dyDescent="0.5">
      <c r="A4" s="7">
        <f>IF(A3&lt;'Characteristics&amp;Parameters'!$B$17,ConcentrationsCalculations!A3+1,IF(A3="DS Node","",IF(A3="","","DS Node")))</f>
        <v>2</v>
      </c>
      <c r="B4" s="8">
        <f>IF(A4&lt;='Characteristics&amp;Parameters'!$B$17,'Characteristics&amp;Parameters'!$B$7,IF(ConcentrationsCalculations!A4="DS Node",'Characteristics&amp;Parameters'!$B$8,""))</f>
        <v>0.2</v>
      </c>
      <c r="C4" s="8"/>
      <c r="E4" s="7">
        <v>2</v>
      </c>
      <c r="F4" s="8">
        <v>0.2</v>
      </c>
      <c r="I4" s="7">
        <f>IF(I3&lt;'Characteristics&amp;Parameters'!$B$17,ConcentrationsCalculations!I3+1,IF(I3="DS Node","",IF(I3="","","DS Node")))</f>
        <v>2</v>
      </c>
      <c r="J4" s="13">
        <f>IF(I4="DS Node",'Characteristics&amp;Parameters'!$B$8,IF(I4&lt;='Characteristics&amp;Parameters'!$B$17,((1-'Characteristics&amp;Parameters'!$B$19)*ConcentrationsCalculations!F4+'Characteristics&amp;Parameters'!$B$19*ConcentrationsCalculations!F3-F4/86400*'Characteristics&amp;Parameters'!$B$11*'Characteristics&amp;Parameters'!$B$12),""))</f>
        <v>0.19998842592592594</v>
      </c>
    </row>
    <row r="5" spans="1:14" x14ac:dyDescent="0.5">
      <c r="A5" s="7">
        <f>IF(A4&lt;'Characteristics&amp;Parameters'!$B$17,ConcentrationsCalculations!A4+1,IF(A4="DS Node","",IF(A4="","","DS Node")))</f>
        <v>3</v>
      </c>
      <c r="B5" s="8">
        <f>IF(A5&lt;='Characteristics&amp;Parameters'!$B$17,'Characteristics&amp;Parameters'!$B$7,IF(ConcentrationsCalculations!A5="DS Node",'Characteristics&amp;Parameters'!$B$8,""))</f>
        <v>0.2</v>
      </c>
      <c r="C5" s="8"/>
      <c r="E5" s="7">
        <v>3</v>
      </c>
      <c r="F5" s="8">
        <v>0.2</v>
      </c>
      <c r="I5" s="7">
        <f>IF(I4&lt;'Characteristics&amp;Parameters'!$B$17,ConcentrationsCalculations!I4+1,IF(I4="DS Node","",IF(I4="","","DS Node")))</f>
        <v>3</v>
      </c>
      <c r="J5" s="13">
        <f>IF(I5="DS Node",'Characteristics&amp;Parameters'!$B$8,IF(I5&lt;='Characteristics&amp;Parameters'!$B$17,((1-'Characteristics&amp;Parameters'!$B$19)*ConcentrationsCalculations!F5+'Characteristics&amp;Parameters'!$B$19*ConcentrationsCalculations!F4-F5/86400*'Characteristics&amp;Parameters'!$B$11*'Characteristics&amp;Parameters'!$B$12),""))</f>
        <v>0.19998842592592594</v>
      </c>
    </row>
    <row r="6" spans="1:14" x14ac:dyDescent="0.5">
      <c r="A6" s="7">
        <f>IF(A5&lt;'Characteristics&amp;Parameters'!$B$17,ConcentrationsCalculations!A5+1,IF(A5="DS Node","",IF(A5="","","DS Node")))</f>
        <v>4</v>
      </c>
      <c r="B6" s="8">
        <f>IF(A6&lt;='Characteristics&amp;Parameters'!$B$17,'Characteristics&amp;Parameters'!$B$7,IF(ConcentrationsCalculations!A6="DS Node",'Characteristics&amp;Parameters'!$B$8,""))</f>
        <v>0.2</v>
      </c>
      <c r="C6" s="8"/>
      <c r="E6" s="7">
        <v>4</v>
      </c>
      <c r="F6" s="8">
        <v>0.2</v>
      </c>
      <c r="I6" s="7">
        <f>IF(I5&lt;'Characteristics&amp;Parameters'!$B$17,ConcentrationsCalculations!I5+1,IF(I5="DS Node","",IF(I5="","","DS Node")))</f>
        <v>4</v>
      </c>
      <c r="J6" s="13">
        <f>IF(I6="DS Node",'Characteristics&amp;Parameters'!$B$8,IF(I6&lt;='Characteristics&amp;Parameters'!$B$17,((1-'Characteristics&amp;Parameters'!$B$19)*ConcentrationsCalculations!F6+'Characteristics&amp;Parameters'!$B$19*ConcentrationsCalculations!F5-F6/86400*'Characteristics&amp;Parameters'!$B$11*'Characteristics&amp;Parameters'!$B$12),""))</f>
        <v>0.19998842592592594</v>
      </c>
    </row>
    <row r="7" spans="1:14" x14ac:dyDescent="0.5">
      <c r="A7" s="7">
        <f>IF(A6&lt;'Characteristics&amp;Parameters'!$B$17,ConcentrationsCalculations!A6+1,IF(A6="DS Node","",IF(A6="","","DS Node")))</f>
        <v>5</v>
      </c>
      <c r="B7" s="8">
        <f>IF(A7&lt;='Characteristics&amp;Parameters'!$B$17,'Characteristics&amp;Parameters'!$B$7,IF(ConcentrationsCalculations!A7="DS Node",'Characteristics&amp;Parameters'!$B$8,""))</f>
        <v>0.2</v>
      </c>
      <c r="C7" s="8"/>
      <c r="E7" s="7">
        <v>5</v>
      </c>
      <c r="F7" s="8">
        <v>0.2</v>
      </c>
      <c r="I7" s="7">
        <f>IF(I6&lt;'Characteristics&amp;Parameters'!$B$17,ConcentrationsCalculations!I6+1,IF(I6="DS Node","",IF(I6="","","DS Node")))</f>
        <v>5</v>
      </c>
      <c r="J7" s="13">
        <f>IF(I7="DS Node",'Characteristics&amp;Parameters'!$B$8,IF(I7&lt;='Characteristics&amp;Parameters'!$B$17,((1-'Characteristics&amp;Parameters'!$B$19)*ConcentrationsCalculations!F7+'Characteristics&amp;Parameters'!$B$19*ConcentrationsCalculations!F6-F7/86400*'Characteristics&amp;Parameters'!$B$11*'Characteristics&amp;Parameters'!$B$12),""))</f>
        <v>0.19998842592592594</v>
      </c>
    </row>
    <row r="8" spans="1:14" x14ac:dyDescent="0.5">
      <c r="A8" s="7">
        <f>IF(A7&lt;'Characteristics&amp;Parameters'!$B$17,ConcentrationsCalculations!A7+1,IF(A7="DS Node","",IF(A7="","","DS Node")))</f>
        <v>6</v>
      </c>
      <c r="B8" s="8">
        <f>IF(A8&lt;='Characteristics&amp;Parameters'!$B$17,'Characteristics&amp;Parameters'!$B$7,IF(ConcentrationsCalculations!A8="DS Node",'Characteristics&amp;Parameters'!$B$8,""))</f>
        <v>0.2</v>
      </c>
      <c r="C8" s="8"/>
      <c r="E8" s="7">
        <v>6</v>
      </c>
      <c r="F8" s="8">
        <v>0.2</v>
      </c>
      <c r="I8" s="7">
        <f>IF(I7&lt;'Characteristics&amp;Parameters'!$B$17,ConcentrationsCalculations!I7+1,IF(I7="DS Node","",IF(I7="","","DS Node")))</f>
        <v>6</v>
      </c>
      <c r="J8" s="13">
        <f>IF(I8="DS Node",'Characteristics&amp;Parameters'!$B$8,IF(I8&lt;='Characteristics&amp;Parameters'!$B$17,((1-'Characteristics&amp;Parameters'!$B$19)*ConcentrationsCalculations!F8+'Characteristics&amp;Parameters'!$B$19*ConcentrationsCalculations!F7-F8/86400*'Characteristics&amp;Parameters'!$B$11*'Characteristics&amp;Parameters'!$B$12),""))</f>
        <v>0.19998842592592594</v>
      </c>
    </row>
    <row r="9" spans="1:14" x14ac:dyDescent="0.5">
      <c r="A9" s="7">
        <f>IF(A8&lt;'Characteristics&amp;Parameters'!$B$17,ConcentrationsCalculations!A8+1,IF(A8="DS Node","",IF(A8="","","DS Node")))</f>
        <v>7</v>
      </c>
      <c r="B9" s="8">
        <f>IF(A9&lt;='Characteristics&amp;Parameters'!$B$17,'Characteristics&amp;Parameters'!$B$7,IF(ConcentrationsCalculations!A9="DS Node",'Characteristics&amp;Parameters'!$B$8,""))</f>
        <v>0.2</v>
      </c>
      <c r="C9" s="8"/>
      <c r="E9" s="7">
        <v>7</v>
      </c>
      <c r="F9" s="8">
        <v>0.2</v>
      </c>
      <c r="I9" s="7">
        <f>IF(I8&lt;'Characteristics&amp;Parameters'!$B$17,ConcentrationsCalculations!I8+1,IF(I8="DS Node","",IF(I8="","","DS Node")))</f>
        <v>7</v>
      </c>
      <c r="J9" s="13">
        <f>IF(I9="DS Node",'Characteristics&amp;Parameters'!$B$8,IF(I9&lt;='Characteristics&amp;Parameters'!$B$17,((1-'Characteristics&amp;Parameters'!$B$19)*ConcentrationsCalculations!F9+'Characteristics&amp;Parameters'!$B$19*ConcentrationsCalculations!F8-F9/86400*'Characteristics&amp;Parameters'!$B$11*'Characteristics&amp;Parameters'!$B$12),""))</f>
        <v>0.19998842592592594</v>
      </c>
    </row>
    <row r="10" spans="1:14" x14ac:dyDescent="0.5">
      <c r="A10" s="7">
        <f>IF(A9&lt;'Characteristics&amp;Parameters'!$B$17,ConcentrationsCalculations!A9+1,IF(A9="DS Node","",IF(A9="","","DS Node")))</f>
        <v>8</v>
      </c>
      <c r="B10" s="8">
        <f>IF(A10&lt;='Characteristics&amp;Parameters'!$B$17,'Characteristics&amp;Parameters'!$B$7,IF(ConcentrationsCalculations!A10="DS Node",'Characteristics&amp;Parameters'!$B$8,""))</f>
        <v>0.2</v>
      </c>
      <c r="C10" s="8"/>
      <c r="E10" s="7">
        <v>8</v>
      </c>
      <c r="F10" s="8">
        <v>0.2</v>
      </c>
      <c r="I10" s="7">
        <f>IF(I9&lt;'Characteristics&amp;Parameters'!$B$17,ConcentrationsCalculations!I9+1,IF(I9="DS Node","",IF(I9="","","DS Node")))</f>
        <v>8</v>
      </c>
      <c r="J10" s="13">
        <f>IF(I10="DS Node",'Characteristics&amp;Parameters'!$B$8,IF(I10&lt;='Characteristics&amp;Parameters'!$B$17,((1-'Characteristics&amp;Parameters'!$B$19)*ConcentrationsCalculations!F10+'Characteristics&amp;Parameters'!$B$19*ConcentrationsCalculations!F9-F10/86400*'Characteristics&amp;Parameters'!$B$11*'Characteristics&amp;Parameters'!$B$12),""))</f>
        <v>0.19998842592592594</v>
      </c>
    </row>
    <row r="11" spans="1:14" x14ac:dyDescent="0.5">
      <c r="A11" s="7">
        <f>IF(A10&lt;'Characteristics&amp;Parameters'!$B$17,ConcentrationsCalculations!A10+1,IF(A10="DS Node","",IF(A10="","","DS Node")))</f>
        <v>9</v>
      </c>
      <c r="B11" s="8">
        <f>IF(A11&lt;='Characteristics&amp;Parameters'!$B$17,'Characteristics&amp;Parameters'!$B$7,IF(ConcentrationsCalculations!A11="DS Node",'Characteristics&amp;Parameters'!$B$8,""))</f>
        <v>0.2</v>
      </c>
      <c r="C11" s="8"/>
      <c r="E11" s="7">
        <v>9</v>
      </c>
      <c r="F11" s="8">
        <v>0.2</v>
      </c>
      <c r="I11" s="7">
        <f>IF(I10&lt;'Characteristics&amp;Parameters'!$B$17,ConcentrationsCalculations!I10+1,IF(I10="DS Node","",IF(I10="","","DS Node")))</f>
        <v>9</v>
      </c>
      <c r="J11" s="13">
        <f>IF(I11="DS Node",'Characteristics&amp;Parameters'!$B$8,IF(I11&lt;='Characteristics&amp;Parameters'!$B$17,((1-'Characteristics&amp;Parameters'!$B$19)*ConcentrationsCalculations!F11+'Characteristics&amp;Parameters'!$B$19*ConcentrationsCalculations!F10-F11/86400*'Characteristics&amp;Parameters'!$B$11*'Characteristics&amp;Parameters'!$B$12),""))</f>
        <v>0.19998842592592594</v>
      </c>
    </row>
    <row r="12" spans="1:14" x14ac:dyDescent="0.5">
      <c r="A12" s="7">
        <f>IF(A11&lt;'Characteristics&amp;Parameters'!$B$17,ConcentrationsCalculations!A11+1,IF(A11="DS Node","",IF(A11="","","DS Node")))</f>
        <v>10</v>
      </c>
      <c r="B12" s="8">
        <f>IF(A12&lt;='Characteristics&amp;Parameters'!$B$17,'Characteristics&amp;Parameters'!$B$7,IF(ConcentrationsCalculations!A12="DS Node",'Characteristics&amp;Parameters'!$B$8,""))</f>
        <v>0.2</v>
      </c>
      <c r="C12" s="8"/>
      <c r="E12" s="7">
        <v>10</v>
      </c>
      <c r="F12" s="8">
        <v>0.2</v>
      </c>
      <c r="I12" s="7">
        <f>IF(I11&lt;'Characteristics&amp;Parameters'!$B$17,ConcentrationsCalculations!I11+1,IF(I11="DS Node","",IF(I11="","","DS Node")))</f>
        <v>10</v>
      </c>
      <c r="J12" s="13">
        <f>IF(I12="DS Node",'Characteristics&amp;Parameters'!$B$8,IF(I12&lt;='Characteristics&amp;Parameters'!$B$17,((1-'Characteristics&amp;Parameters'!$B$19)*ConcentrationsCalculations!F12+'Characteristics&amp;Parameters'!$B$19*ConcentrationsCalculations!F11-F12/86400*'Characteristics&amp;Parameters'!$B$11*'Characteristics&amp;Parameters'!$B$12),""))</f>
        <v>0.19998842592592594</v>
      </c>
    </row>
    <row r="13" spans="1:14" x14ac:dyDescent="0.5">
      <c r="A13" s="7">
        <f>IF(A12&lt;'Characteristics&amp;Parameters'!$B$17,ConcentrationsCalculations!A12+1,IF(A12="DS Node","",IF(A12="","","DS Node")))</f>
        <v>11</v>
      </c>
      <c r="B13" s="8">
        <f>IF(A13&lt;='Characteristics&amp;Parameters'!$B$17,'Characteristics&amp;Parameters'!$B$7,IF(ConcentrationsCalculations!A13="DS Node",'Characteristics&amp;Parameters'!$B$8,""))</f>
        <v>0.2</v>
      </c>
      <c r="C13" s="8"/>
      <c r="E13" s="7">
        <v>11</v>
      </c>
      <c r="F13" s="8">
        <v>0.2</v>
      </c>
      <c r="I13" s="7">
        <f>IF(I12&lt;'Characteristics&amp;Parameters'!$B$17,ConcentrationsCalculations!I12+1,IF(I12="DS Node","",IF(I12="","","DS Node")))</f>
        <v>11</v>
      </c>
      <c r="J13" s="13">
        <f>IF(I13="DS Node",'Characteristics&amp;Parameters'!$B$8,IF(I13&lt;='Characteristics&amp;Parameters'!$B$17,((1-'Characteristics&amp;Parameters'!$B$19)*ConcentrationsCalculations!F13+'Characteristics&amp;Parameters'!$B$19*ConcentrationsCalculations!F12-F13/86400*'Characteristics&amp;Parameters'!$B$11*'Characteristics&amp;Parameters'!$B$12),""))</f>
        <v>0.19998842592592594</v>
      </c>
    </row>
    <row r="14" spans="1:14" x14ac:dyDescent="0.5">
      <c r="A14" s="7">
        <f>IF(A13&lt;'Characteristics&amp;Parameters'!$B$17,ConcentrationsCalculations!A13+1,IF(A13="DS Node","",IF(A13="","","DS Node")))</f>
        <v>12</v>
      </c>
      <c r="B14" s="8">
        <f>IF(A14&lt;='Characteristics&amp;Parameters'!$B$17,'Characteristics&amp;Parameters'!$B$7,IF(ConcentrationsCalculations!A14="DS Node",'Characteristics&amp;Parameters'!$B$8,""))</f>
        <v>0.2</v>
      </c>
      <c r="C14" s="8"/>
      <c r="E14" s="7">
        <v>12</v>
      </c>
      <c r="F14" s="8">
        <v>0.2</v>
      </c>
      <c r="I14" s="7">
        <f>IF(I13&lt;'Characteristics&amp;Parameters'!$B$17,ConcentrationsCalculations!I13+1,IF(I13="DS Node","",IF(I13="","","DS Node")))</f>
        <v>12</v>
      </c>
      <c r="J14" s="13">
        <f>IF(I14="DS Node",'Characteristics&amp;Parameters'!$B$8,IF(I14&lt;='Characteristics&amp;Parameters'!$B$17,((1-'Characteristics&amp;Parameters'!$B$19)*ConcentrationsCalculations!F14+'Characteristics&amp;Parameters'!$B$19*ConcentrationsCalculations!F13-F14/86400*'Characteristics&amp;Parameters'!$B$11*'Characteristics&amp;Parameters'!$B$12),""))</f>
        <v>0.19998842592592594</v>
      </c>
    </row>
    <row r="15" spans="1:14" x14ac:dyDescent="0.5">
      <c r="A15" s="7">
        <f>IF(A14&lt;'Characteristics&amp;Parameters'!$B$17,ConcentrationsCalculations!A14+1,IF(A14="DS Node","",IF(A14="","","DS Node")))</f>
        <v>13</v>
      </c>
      <c r="B15" s="8">
        <f>IF(A15&lt;='Characteristics&amp;Parameters'!$B$17,'Characteristics&amp;Parameters'!$B$7,IF(ConcentrationsCalculations!A15="DS Node",'Characteristics&amp;Parameters'!$B$8,""))</f>
        <v>0.2</v>
      </c>
      <c r="C15" s="8"/>
      <c r="E15" s="7">
        <v>13</v>
      </c>
      <c r="F15" s="8">
        <v>0.2</v>
      </c>
      <c r="I15" s="7">
        <f>IF(I14&lt;'Characteristics&amp;Parameters'!$B$17,ConcentrationsCalculations!I14+1,IF(I14="DS Node","",IF(I14="","","DS Node")))</f>
        <v>13</v>
      </c>
      <c r="J15" s="13">
        <f>IF(I15="DS Node",'Characteristics&amp;Parameters'!$B$8,IF(I15&lt;='Characteristics&amp;Parameters'!$B$17,((1-'Characteristics&amp;Parameters'!$B$19)*ConcentrationsCalculations!F15+'Characteristics&amp;Parameters'!$B$19*ConcentrationsCalculations!F14-F15/86400*'Characteristics&amp;Parameters'!$B$11*'Characteristics&amp;Parameters'!$B$12),""))</f>
        <v>0.19998842592592594</v>
      </c>
    </row>
    <row r="16" spans="1:14" x14ac:dyDescent="0.5">
      <c r="A16" s="7">
        <f>IF(A15&lt;'Characteristics&amp;Parameters'!$B$17,ConcentrationsCalculations!A15+1,IF(A15="DS Node","",IF(A15="","","DS Node")))</f>
        <v>14</v>
      </c>
      <c r="B16" s="8">
        <f>IF(A16&lt;='Characteristics&amp;Parameters'!$B$17,'Characteristics&amp;Parameters'!$B$7,IF(ConcentrationsCalculations!A16="DS Node",'Characteristics&amp;Parameters'!$B$8,""))</f>
        <v>0.2</v>
      </c>
      <c r="C16" s="8"/>
      <c r="E16" s="7">
        <v>14</v>
      </c>
      <c r="F16" s="8">
        <v>0.2</v>
      </c>
      <c r="I16" s="7">
        <f>IF(I15&lt;'Characteristics&amp;Parameters'!$B$17,ConcentrationsCalculations!I15+1,IF(I15="DS Node","",IF(I15="","","DS Node")))</f>
        <v>14</v>
      </c>
      <c r="J16" s="13">
        <f>IF(I16="DS Node",'Characteristics&amp;Parameters'!$B$8,IF(I16&lt;='Characteristics&amp;Parameters'!$B$17,((1-'Characteristics&amp;Parameters'!$B$19)*ConcentrationsCalculations!F16+'Characteristics&amp;Parameters'!$B$19*ConcentrationsCalculations!F15-F16/86400*'Characteristics&amp;Parameters'!$B$11*'Characteristics&amp;Parameters'!$B$12),""))</f>
        <v>0.19998842592592594</v>
      </c>
    </row>
    <row r="17" spans="1:10" x14ac:dyDescent="0.5">
      <c r="A17" s="7">
        <f>IF(A16&lt;'Characteristics&amp;Parameters'!$B$17,ConcentrationsCalculations!A16+1,IF(A16="DS Node","",IF(A16="","","DS Node")))</f>
        <v>15</v>
      </c>
      <c r="B17" s="8">
        <f>IF(A17&lt;='Characteristics&amp;Parameters'!$B$17,'Characteristics&amp;Parameters'!$B$7,IF(ConcentrationsCalculations!A17="DS Node",'Characteristics&amp;Parameters'!$B$8,""))</f>
        <v>0.2</v>
      </c>
      <c r="C17" s="8"/>
      <c r="E17" s="7">
        <v>15</v>
      </c>
      <c r="F17" s="8">
        <v>0.2</v>
      </c>
      <c r="I17" s="7">
        <f>IF(I16&lt;'Characteristics&amp;Parameters'!$B$17,ConcentrationsCalculations!I16+1,IF(I16="DS Node","",IF(I16="","","DS Node")))</f>
        <v>15</v>
      </c>
      <c r="J17" s="13">
        <f>IF(I17="DS Node",'Characteristics&amp;Parameters'!$B$8,IF(I17&lt;='Characteristics&amp;Parameters'!$B$17,((1-'Characteristics&amp;Parameters'!$B$19)*ConcentrationsCalculations!F17+'Characteristics&amp;Parameters'!$B$19*ConcentrationsCalculations!F16-F17/86400*'Characteristics&amp;Parameters'!$B$11*'Characteristics&amp;Parameters'!$B$12),""))</f>
        <v>0.19998842592592594</v>
      </c>
    </row>
    <row r="18" spans="1:10" x14ac:dyDescent="0.5">
      <c r="A18" s="7">
        <f>IF(A17&lt;'Characteristics&amp;Parameters'!$B$17,ConcentrationsCalculations!A17+1,IF(A17="DS Node","",IF(A17="","","DS Node")))</f>
        <v>16</v>
      </c>
      <c r="B18" s="8">
        <f>IF(A18&lt;='Characteristics&amp;Parameters'!$B$17,'Characteristics&amp;Parameters'!$B$7,IF(ConcentrationsCalculations!A18="DS Node",'Characteristics&amp;Parameters'!$B$8,""))</f>
        <v>0.2</v>
      </c>
      <c r="C18" s="8"/>
      <c r="E18" s="7">
        <v>16</v>
      </c>
      <c r="F18" s="8">
        <v>0.2</v>
      </c>
      <c r="I18" s="7">
        <f>IF(I17&lt;'Characteristics&amp;Parameters'!$B$17,ConcentrationsCalculations!I17+1,IF(I17="DS Node","",IF(I17="","","DS Node")))</f>
        <v>16</v>
      </c>
      <c r="J18" s="13">
        <f>IF(I18="DS Node",'Characteristics&amp;Parameters'!$B$8,IF(I18&lt;='Characteristics&amp;Parameters'!$B$17,((1-'Characteristics&amp;Parameters'!$B$19)*ConcentrationsCalculations!F18+'Characteristics&amp;Parameters'!$B$19*ConcentrationsCalculations!F17-F18/86400*'Characteristics&amp;Parameters'!$B$11*'Characteristics&amp;Parameters'!$B$12),""))</f>
        <v>0.19998842592592594</v>
      </c>
    </row>
    <row r="19" spans="1:10" x14ac:dyDescent="0.5">
      <c r="A19" s="7">
        <f>IF(A18&lt;'Characteristics&amp;Parameters'!$B$17,ConcentrationsCalculations!A18+1,IF(A18="DS Node","",IF(A18="","","DS Node")))</f>
        <v>17</v>
      </c>
      <c r="B19" s="8">
        <f>IF(A19&lt;='Characteristics&amp;Parameters'!$B$17,'Characteristics&amp;Parameters'!$B$7,IF(ConcentrationsCalculations!A19="DS Node",'Characteristics&amp;Parameters'!$B$8,""))</f>
        <v>0.2</v>
      </c>
      <c r="C19" s="8"/>
      <c r="E19" s="7">
        <v>17</v>
      </c>
      <c r="F19" s="8">
        <v>0.2</v>
      </c>
      <c r="I19" s="7">
        <f>IF(I18&lt;'Characteristics&amp;Parameters'!$B$17,ConcentrationsCalculations!I18+1,IF(I18="DS Node","",IF(I18="","","DS Node")))</f>
        <v>17</v>
      </c>
      <c r="J19" s="13">
        <f>IF(I19="DS Node",'Characteristics&amp;Parameters'!$B$8,IF(I19&lt;='Characteristics&amp;Parameters'!$B$17,((1-'Characteristics&amp;Parameters'!$B$19)*ConcentrationsCalculations!F19+'Characteristics&amp;Parameters'!$B$19*ConcentrationsCalculations!F18-F19/86400*'Characteristics&amp;Parameters'!$B$11*'Characteristics&amp;Parameters'!$B$12),""))</f>
        <v>0.19998842592592594</v>
      </c>
    </row>
    <row r="20" spans="1:10" x14ac:dyDescent="0.5">
      <c r="A20" s="7">
        <f>IF(A19&lt;'Characteristics&amp;Parameters'!$B$17,ConcentrationsCalculations!A19+1,IF(A19="DS Node","",IF(A19="","","DS Node")))</f>
        <v>18</v>
      </c>
      <c r="B20" s="8">
        <f>IF(A20&lt;='Characteristics&amp;Parameters'!$B$17,'Characteristics&amp;Parameters'!$B$7,IF(ConcentrationsCalculations!A20="DS Node",'Characteristics&amp;Parameters'!$B$8,""))</f>
        <v>0.2</v>
      </c>
      <c r="C20" s="8"/>
      <c r="E20" s="7">
        <v>18</v>
      </c>
      <c r="F20" s="8">
        <v>0.2</v>
      </c>
      <c r="I20" s="7">
        <f>IF(I19&lt;'Characteristics&amp;Parameters'!$B$17,ConcentrationsCalculations!I19+1,IF(I19="DS Node","",IF(I19="","","DS Node")))</f>
        <v>18</v>
      </c>
      <c r="J20" s="13">
        <f>IF(I20="DS Node",'Characteristics&amp;Parameters'!$B$8,IF(I20&lt;='Characteristics&amp;Parameters'!$B$17,((1-'Characteristics&amp;Parameters'!$B$19)*ConcentrationsCalculations!F20+'Characteristics&amp;Parameters'!$B$19*ConcentrationsCalculations!F19-F20/86400*'Characteristics&amp;Parameters'!$B$11*'Characteristics&amp;Parameters'!$B$12),""))</f>
        <v>0.19998842592592594</v>
      </c>
    </row>
    <row r="21" spans="1:10" x14ac:dyDescent="0.5">
      <c r="A21" s="7">
        <f>IF(A20&lt;'Characteristics&amp;Parameters'!$B$17,ConcentrationsCalculations!A20+1,IF(A20="DS Node","",IF(A20="","","DS Node")))</f>
        <v>19</v>
      </c>
      <c r="B21" s="8">
        <f>IF(A21&lt;='Characteristics&amp;Parameters'!$B$17,'Characteristics&amp;Parameters'!$B$7,IF(ConcentrationsCalculations!A21="DS Node",'Characteristics&amp;Parameters'!$B$8,""))</f>
        <v>0.2</v>
      </c>
      <c r="C21" s="8"/>
      <c r="E21" s="7">
        <v>19</v>
      </c>
      <c r="F21" s="8">
        <v>0.2</v>
      </c>
      <c r="I21" s="7">
        <f>IF(I20&lt;'Characteristics&amp;Parameters'!$B$17,ConcentrationsCalculations!I20+1,IF(I20="DS Node","",IF(I20="","","DS Node")))</f>
        <v>19</v>
      </c>
      <c r="J21" s="13">
        <f>IF(I21="DS Node",'Characteristics&amp;Parameters'!$B$8,IF(I21&lt;='Characteristics&amp;Parameters'!$B$17,((1-'Characteristics&amp;Parameters'!$B$19)*ConcentrationsCalculations!F21+'Characteristics&amp;Parameters'!$B$19*ConcentrationsCalculations!F20-F21/86400*'Characteristics&amp;Parameters'!$B$11*'Characteristics&amp;Parameters'!$B$12),""))</f>
        <v>0.19998842592592594</v>
      </c>
    </row>
    <row r="22" spans="1:10" x14ac:dyDescent="0.5">
      <c r="A22" s="7">
        <f>IF(A21&lt;'Characteristics&amp;Parameters'!$B$17,ConcentrationsCalculations!A21+1,IF(A21="DS Node","",IF(A21="","","DS Node")))</f>
        <v>20</v>
      </c>
      <c r="B22" s="8">
        <f>IF(A22&lt;='Characteristics&amp;Parameters'!$B$17,'Characteristics&amp;Parameters'!$B$7,IF(ConcentrationsCalculations!A22="DS Node",'Characteristics&amp;Parameters'!$B$8,""))</f>
        <v>0.2</v>
      </c>
      <c r="C22" s="8"/>
      <c r="E22" s="7">
        <v>20</v>
      </c>
      <c r="F22" s="8">
        <v>0.2</v>
      </c>
      <c r="I22" s="7">
        <f>IF(I21&lt;'Characteristics&amp;Parameters'!$B$17,ConcentrationsCalculations!I21+1,IF(I21="DS Node","",IF(I21="","","DS Node")))</f>
        <v>20</v>
      </c>
      <c r="J22" s="13">
        <f>IF(I22="DS Node",'Characteristics&amp;Parameters'!$B$8,IF(I22&lt;='Characteristics&amp;Parameters'!$B$17,((1-'Characteristics&amp;Parameters'!$B$19)*ConcentrationsCalculations!F22+'Characteristics&amp;Parameters'!$B$19*ConcentrationsCalculations!F21-F22/86400*'Characteristics&amp;Parameters'!$B$11*'Characteristics&amp;Parameters'!$B$12),""))</f>
        <v>0.19998842592592594</v>
      </c>
    </row>
    <row r="23" spans="1:10" x14ac:dyDescent="0.5">
      <c r="A23" s="7">
        <f>IF(A22&lt;'Characteristics&amp;Parameters'!$B$17,ConcentrationsCalculations!A22+1,IF(A22="DS Node","",IF(A22="","","DS Node")))</f>
        <v>21</v>
      </c>
      <c r="B23" s="8">
        <f>IF(A23&lt;='Characteristics&amp;Parameters'!$B$17,'Characteristics&amp;Parameters'!$B$7,IF(ConcentrationsCalculations!A23="DS Node",'Characteristics&amp;Parameters'!$B$8,""))</f>
        <v>0.2</v>
      </c>
      <c r="C23" s="8"/>
      <c r="E23" s="7">
        <v>21</v>
      </c>
      <c r="F23" s="8">
        <v>0.2</v>
      </c>
      <c r="I23" s="7">
        <f>IF(I22&lt;'Characteristics&amp;Parameters'!$B$17,ConcentrationsCalculations!I22+1,IF(I22="DS Node","",IF(I22="","","DS Node")))</f>
        <v>21</v>
      </c>
      <c r="J23" s="13">
        <f>IF(I23="DS Node",'Characteristics&amp;Parameters'!$B$8,IF(I23&lt;='Characteristics&amp;Parameters'!$B$17,((1-'Characteristics&amp;Parameters'!$B$19)*ConcentrationsCalculations!F23+'Characteristics&amp;Parameters'!$B$19*ConcentrationsCalculations!F22-F23/86400*'Characteristics&amp;Parameters'!$B$11*'Characteristics&amp;Parameters'!$B$12),""))</f>
        <v>0.19998842592592594</v>
      </c>
    </row>
    <row r="24" spans="1:10" x14ac:dyDescent="0.5">
      <c r="A24" s="7">
        <f>IF(A23&lt;'Characteristics&amp;Parameters'!$B$17,ConcentrationsCalculations!A23+1,IF(A23="DS Node","",IF(A23="","","DS Node")))</f>
        <v>22</v>
      </c>
      <c r="B24" s="8">
        <f>IF(A24&lt;='Characteristics&amp;Parameters'!$B$17,'Characteristics&amp;Parameters'!$B$7,IF(ConcentrationsCalculations!A24="DS Node",'Characteristics&amp;Parameters'!$B$8,""))</f>
        <v>0.2</v>
      </c>
      <c r="C24" s="8"/>
      <c r="E24" s="7">
        <v>22</v>
      </c>
      <c r="F24" s="8">
        <v>0.2</v>
      </c>
      <c r="I24" s="7">
        <f>IF(I23&lt;'Characteristics&amp;Parameters'!$B$17,ConcentrationsCalculations!I23+1,IF(I23="DS Node","",IF(I23="","","DS Node")))</f>
        <v>22</v>
      </c>
      <c r="J24" s="13">
        <f>IF(I24="DS Node",'Characteristics&amp;Parameters'!$B$8,IF(I24&lt;='Characteristics&amp;Parameters'!$B$17,((1-'Characteristics&amp;Parameters'!$B$19)*ConcentrationsCalculations!F24+'Characteristics&amp;Parameters'!$B$19*ConcentrationsCalculations!F23-F24/86400*'Characteristics&amp;Parameters'!$B$11*'Characteristics&amp;Parameters'!$B$12),""))</f>
        <v>0.19998842592592594</v>
      </c>
    </row>
    <row r="25" spans="1:10" x14ac:dyDescent="0.5">
      <c r="A25" s="7">
        <f>IF(A24&lt;'Characteristics&amp;Parameters'!$B$17,ConcentrationsCalculations!A24+1,IF(A24="DS Node","",IF(A24="","","DS Node")))</f>
        <v>23</v>
      </c>
      <c r="B25" s="8">
        <f>IF(A25&lt;='Characteristics&amp;Parameters'!$B$17,'Characteristics&amp;Parameters'!$B$7,IF(ConcentrationsCalculations!A25="DS Node",'Characteristics&amp;Parameters'!$B$8,""))</f>
        <v>0.2</v>
      </c>
      <c r="C25" s="8"/>
      <c r="E25" s="7">
        <v>23</v>
      </c>
      <c r="F25" s="8">
        <v>0.2</v>
      </c>
      <c r="I25" s="7">
        <f>IF(I24&lt;'Characteristics&amp;Parameters'!$B$17,ConcentrationsCalculations!I24+1,IF(I24="DS Node","",IF(I24="","","DS Node")))</f>
        <v>23</v>
      </c>
      <c r="J25" s="13">
        <f>IF(I25="DS Node",'Characteristics&amp;Parameters'!$B$8,IF(I25&lt;='Characteristics&amp;Parameters'!$B$17,((1-'Characteristics&amp;Parameters'!$B$19)*ConcentrationsCalculations!F25+'Characteristics&amp;Parameters'!$B$19*ConcentrationsCalculations!F24-F25/86400*'Characteristics&amp;Parameters'!$B$11*'Characteristics&amp;Parameters'!$B$12),""))</f>
        <v>0.19998842592592594</v>
      </c>
    </row>
    <row r="26" spans="1:10" x14ac:dyDescent="0.5">
      <c r="A26" s="7">
        <f>IF(A25&lt;'Characteristics&amp;Parameters'!$B$17,ConcentrationsCalculations!A25+1,IF(A25="DS Node","",IF(A25="","","DS Node")))</f>
        <v>24</v>
      </c>
      <c r="B26" s="8">
        <f>IF(A26&lt;='Characteristics&amp;Parameters'!$B$17,'Characteristics&amp;Parameters'!$B$7,IF(ConcentrationsCalculations!A26="DS Node",'Characteristics&amp;Parameters'!$B$8,""))</f>
        <v>0.2</v>
      </c>
      <c r="C26" s="8"/>
      <c r="E26" s="7">
        <v>24</v>
      </c>
      <c r="F26" s="8">
        <v>0.2</v>
      </c>
      <c r="I26" s="7">
        <f>IF(I25&lt;'Characteristics&amp;Parameters'!$B$17,ConcentrationsCalculations!I25+1,IF(I25="DS Node","",IF(I25="","","DS Node")))</f>
        <v>24</v>
      </c>
      <c r="J26" s="13">
        <f>IF(I26="DS Node",'Characteristics&amp;Parameters'!$B$8,IF(I26&lt;='Characteristics&amp;Parameters'!$B$17,((1-'Characteristics&amp;Parameters'!$B$19)*ConcentrationsCalculations!F26+'Characteristics&amp;Parameters'!$B$19*ConcentrationsCalculations!F25-F26/86400*'Characteristics&amp;Parameters'!$B$11*'Characteristics&amp;Parameters'!$B$12),""))</f>
        <v>0.19998842592592594</v>
      </c>
    </row>
    <row r="27" spans="1:10" x14ac:dyDescent="0.5">
      <c r="A27" s="7">
        <f>IF(A26&lt;'Characteristics&amp;Parameters'!$B$17,ConcentrationsCalculations!A26+1,IF(A26="DS Node","",IF(A26="","","DS Node")))</f>
        <v>25</v>
      </c>
      <c r="B27" s="8">
        <f>IF(A27&lt;='Characteristics&amp;Parameters'!$B$17,'Characteristics&amp;Parameters'!$B$7,IF(ConcentrationsCalculations!A27="DS Node",'Characteristics&amp;Parameters'!$B$8,""))</f>
        <v>0.2</v>
      </c>
      <c r="C27" s="8"/>
      <c r="E27" s="7">
        <v>25</v>
      </c>
      <c r="F27" s="8">
        <v>0.2</v>
      </c>
      <c r="I27" s="7">
        <f>IF(I26&lt;'Characteristics&amp;Parameters'!$B$17,ConcentrationsCalculations!I26+1,IF(I26="DS Node","",IF(I26="","","DS Node")))</f>
        <v>25</v>
      </c>
      <c r="J27" s="13">
        <f>IF(I27="DS Node",'Characteristics&amp;Parameters'!$B$8,IF(I27&lt;='Characteristics&amp;Parameters'!$B$17,((1-'Characteristics&amp;Parameters'!$B$19)*ConcentrationsCalculations!F27+'Characteristics&amp;Parameters'!$B$19*ConcentrationsCalculations!F26-F27/86400*'Characteristics&amp;Parameters'!$B$11*'Characteristics&amp;Parameters'!$B$12),""))</f>
        <v>0.19998842592592594</v>
      </c>
    </row>
    <row r="28" spans="1:10" x14ac:dyDescent="0.5">
      <c r="A28" s="7">
        <f>IF(A27&lt;'Characteristics&amp;Parameters'!$B$17,ConcentrationsCalculations!A27+1,IF(A27="DS Node","",IF(A27="","","DS Node")))</f>
        <v>26</v>
      </c>
      <c r="B28" s="8">
        <f>IF(A28&lt;='Characteristics&amp;Parameters'!$B$17,'Characteristics&amp;Parameters'!$B$7,IF(ConcentrationsCalculations!A28="DS Node",'Characteristics&amp;Parameters'!$B$8,""))</f>
        <v>0.2</v>
      </c>
      <c r="C28" s="8"/>
      <c r="E28" s="7">
        <v>26</v>
      </c>
      <c r="F28" s="8">
        <v>0.2</v>
      </c>
      <c r="I28" s="7">
        <f>IF(I27&lt;'Characteristics&amp;Parameters'!$B$17,ConcentrationsCalculations!I27+1,IF(I27="DS Node","",IF(I27="","","DS Node")))</f>
        <v>26</v>
      </c>
      <c r="J28" s="13">
        <f>IF(I28="DS Node",'Characteristics&amp;Parameters'!$B$8,IF(I28&lt;='Characteristics&amp;Parameters'!$B$17,((1-'Characteristics&amp;Parameters'!$B$19)*ConcentrationsCalculations!F28+'Characteristics&amp;Parameters'!$B$19*ConcentrationsCalculations!F27-F28/86400*'Characteristics&amp;Parameters'!$B$11*'Characteristics&amp;Parameters'!$B$12),""))</f>
        <v>0.19998842592592594</v>
      </c>
    </row>
    <row r="29" spans="1:10" x14ac:dyDescent="0.5">
      <c r="A29" s="7">
        <f>IF(A28&lt;'Characteristics&amp;Parameters'!$B$17,ConcentrationsCalculations!A28+1,IF(A28="DS Node","",IF(A28="","","DS Node")))</f>
        <v>27</v>
      </c>
      <c r="B29" s="8">
        <f>IF(A29&lt;='Characteristics&amp;Parameters'!$B$17,'Characteristics&amp;Parameters'!$B$7,IF(ConcentrationsCalculations!A29="DS Node",'Characteristics&amp;Parameters'!$B$8,""))</f>
        <v>0.2</v>
      </c>
      <c r="C29" s="8"/>
      <c r="E29" s="7">
        <v>27</v>
      </c>
      <c r="F29" s="8">
        <v>0.2</v>
      </c>
      <c r="I29" s="7">
        <f>IF(I28&lt;'Characteristics&amp;Parameters'!$B$17,ConcentrationsCalculations!I28+1,IF(I28="DS Node","",IF(I28="","","DS Node")))</f>
        <v>27</v>
      </c>
      <c r="J29" s="13">
        <f>IF(I29="DS Node",'Characteristics&amp;Parameters'!$B$8,IF(I29&lt;='Characteristics&amp;Parameters'!$B$17,((1-'Characteristics&amp;Parameters'!$B$19)*ConcentrationsCalculations!F29+'Characteristics&amp;Parameters'!$B$19*ConcentrationsCalculations!F28-F29/86400*'Characteristics&amp;Parameters'!$B$11*'Characteristics&amp;Parameters'!$B$12),""))</f>
        <v>0.19998842592592594</v>
      </c>
    </row>
    <row r="30" spans="1:10" x14ac:dyDescent="0.5">
      <c r="A30" s="7">
        <f>IF(A29&lt;'Characteristics&amp;Parameters'!$B$17,ConcentrationsCalculations!A29+1,IF(A29="DS Node","",IF(A29="","","DS Node")))</f>
        <v>28</v>
      </c>
      <c r="B30" s="8">
        <f>IF(A30&lt;='Characteristics&amp;Parameters'!$B$17,'Characteristics&amp;Parameters'!$B$7,IF(ConcentrationsCalculations!A30="DS Node",'Characteristics&amp;Parameters'!$B$8,""))</f>
        <v>0.2</v>
      </c>
      <c r="C30" s="8"/>
      <c r="E30" s="7">
        <v>28</v>
      </c>
      <c r="F30" s="8">
        <v>0.2</v>
      </c>
      <c r="I30" s="7">
        <f>IF(I29&lt;'Characteristics&amp;Parameters'!$B$17,ConcentrationsCalculations!I29+1,IF(I29="DS Node","",IF(I29="","","DS Node")))</f>
        <v>28</v>
      </c>
      <c r="J30" s="13">
        <f>IF(I30="DS Node",'Characteristics&amp;Parameters'!$B$8,IF(I30&lt;='Characteristics&amp;Parameters'!$B$17,((1-'Characteristics&amp;Parameters'!$B$19)*ConcentrationsCalculations!F30+'Characteristics&amp;Parameters'!$B$19*ConcentrationsCalculations!F29-F30/86400*'Characteristics&amp;Parameters'!$B$11*'Characteristics&amp;Parameters'!$B$12),""))</f>
        <v>0.19998842592592594</v>
      </c>
    </row>
    <row r="31" spans="1:10" x14ac:dyDescent="0.5">
      <c r="A31" s="7">
        <f>IF(A30&lt;'Characteristics&amp;Parameters'!$B$17,ConcentrationsCalculations!A30+1,IF(A30="DS Node","",IF(A30="","","DS Node")))</f>
        <v>29</v>
      </c>
      <c r="B31" s="8">
        <f>IF(A31&lt;='Characteristics&amp;Parameters'!$B$17,'Characteristics&amp;Parameters'!$B$7,IF(ConcentrationsCalculations!A31="DS Node",'Characteristics&amp;Parameters'!$B$8,""))</f>
        <v>0.2</v>
      </c>
      <c r="C31" s="8"/>
      <c r="E31" s="7">
        <v>29</v>
      </c>
      <c r="F31" s="8">
        <v>0.2</v>
      </c>
      <c r="I31" s="7">
        <f>IF(I30&lt;'Characteristics&amp;Parameters'!$B$17,ConcentrationsCalculations!I30+1,IF(I30="DS Node","",IF(I30="","","DS Node")))</f>
        <v>29</v>
      </c>
      <c r="J31" s="13">
        <f>IF(I31="DS Node",'Characteristics&amp;Parameters'!$B$8,IF(I31&lt;='Characteristics&amp;Parameters'!$B$17,((1-'Characteristics&amp;Parameters'!$B$19)*ConcentrationsCalculations!F31+'Characteristics&amp;Parameters'!$B$19*ConcentrationsCalculations!F30-F31/86400*'Characteristics&amp;Parameters'!$B$11*'Characteristics&amp;Parameters'!$B$12),""))</f>
        <v>0.19998842592592594</v>
      </c>
    </row>
    <row r="32" spans="1:10" x14ac:dyDescent="0.5">
      <c r="A32" s="7">
        <f>IF(A31&lt;'Characteristics&amp;Parameters'!$B$17,ConcentrationsCalculations!A31+1,IF(A31="DS Node","",IF(A31="","","DS Node")))</f>
        <v>30</v>
      </c>
      <c r="B32" s="8">
        <f>IF(A32&lt;='Characteristics&amp;Parameters'!$B$17,'Characteristics&amp;Parameters'!$B$7,IF(ConcentrationsCalculations!A32="DS Node",'Characteristics&amp;Parameters'!$B$8,""))</f>
        <v>0.2</v>
      </c>
      <c r="C32" s="8"/>
      <c r="E32" s="7">
        <v>30</v>
      </c>
      <c r="F32" s="8">
        <v>0.2</v>
      </c>
      <c r="I32" s="7">
        <f>IF(I31&lt;'Characteristics&amp;Parameters'!$B$17,ConcentrationsCalculations!I31+1,IF(I31="DS Node","",IF(I31="","","DS Node")))</f>
        <v>30</v>
      </c>
      <c r="J32" s="13">
        <f>IF(I32="DS Node",'Characteristics&amp;Parameters'!$B$8,IF(I32&lt;='Characteristics&amp;Parameters'!$B$17,((1-'Characteristics&amp;Parameters'!$B$19)*ConcentrationsCalculations!F32+'Characteristics&amp;Parameters'!$B$19*ConcentrationsCalculations!F31-F32/86400*'Characteristics&amp;Parameters'!$B$11*'Characteristics&amp;Parameters'!$B$12),""))</f>
        <v>0.19998842592592594</v>
      </c>
    </row>
    <row r="33" spans="1:10" x14ac:dyDescent="0.5">
      <c r="A33" s="7">
        <f>IF(A32&lt;'Characteristics&amp;Parameters'!$B$17,ConcentrationsCalculations!A32+1,IF(A32="DS Node","",IF(A32="","","DS Node")))</f>
        <v>31</v>
      </c>
      <c r="B33" s="8">
        <f>IF(A33&lt;='Characteristics&amp;Parameters'!$B$17,'Characteristics&amp;Parameters'!$B$7,IF(ConcentrationsCalculations!A33="DS Node",'Characteristics&amp;Parameters'!$B$8,""))</f>
        <v>0.2</v>
      </c>
      <c r="C33" s="8"/>
      <c r="E33" s="7">
        <v>31</v>
      </c>
      <c r="F33" s="8">
        <v>0.2</v>
      </c>
      <c r="I33" s="7">
        <f>IF(I32&lt;'Characteristics&amp;Parameters'!$B$17,ConcentrationsCalculations!I32+1,IF(I32="DS Node","",IF(I32="","","DS Node")))</f>
        <v>31</v>
      </c>
      <c r="J33" s="13">
        <f>IF(I33="DS Node",'Characteristics&amp;Parameters'!$B$8,IF(I33&lt;='Characteristics&amp;Parameters'!$B$17,((1-'Characteristics&amp;Parameters'!$B$19)*ConcentrationsCalculations!F33+'Characteristics&amp;Parameters'!$B$19*ConcentrationsCalculations!F32-F33/86400*'Characteristics&amp;Parameters'!$B$11*'Characteristics&amp;Parameters'!$B$12),""))</f>
        <v>0.19998842592592594</v>
      </c>
    </row>
    <row r="34" spans="1:10" x14ac:dyDescent="0.5">
      <c r="A34" s="7">
        <f>IF(A33&lt;'Characteristics&amp;Parameters'!$B$17,ConcentrationsCalculations!A33+1,IF(A33="DS Node","",IF(A33="","","DS Node")))</f>
        <v>32</v>
      </c>
      <c r="B34" s="8">
        <f>IF(A34&lt;='Characteristics&amp;Parameters'!$B$17,'Characteristics&amp;Parameters'!$B$7,IF(ConcentrationsCalculations!A34="DS Node",'Characteristics&amp;Parameters'!$B$8,""))</f>
        <v>0.2</v>
      </c>
      <c r="C34" s="8"/>
      <c r="E34" s="7">
        <v>32</v>
      </c>
      <c r="F34" s="8">
        <v>0.2</v>
      </c>
      <c r="I34" s="7">
        <f>IF(I33&lt;'Characteristics&amp;Parameters'!$B$17,ConcentrationsCalculations!I33+1,IF(I33="DS Node","",IF(I33="","","DS Node")))</f>
        <v>32</v>
      </c>
      <c r="J34" s="13">
        <f>IF(I34="DS Node",'Characteristics&amp;Parameters'!$B$8,IF(I34&lt;='Characteristics&amp;Parameters'!$B$17,((1-'Characteristics&amp;Parameters'!$B$19)*ConcentrationsCalculations!F34+'Characteristics&amp;Parameters'!$B$19*ConcentrationsCalculations!F33-F34/86400*'Characteristics&amp;Parameters'!$B$11*'Characteristics&amp;Parameters'!$B$12),""))</f>
        <v>0.19998842592592594</v>
      </c>
    </row>
    <row r="35" spans="1:10" x14ac:dyDescent="0.5">
      <c r="A35" s="7">
        <f>IF(A34&lt;'Characteristics&amp;Parameters'!$B$17,ConcentrationsCalculations!A34+1,IF(A34="DS Node","",IF(A34="","","DS Node")))</f>
        <v>33</v>
      </c>
      <c r="B35" s="8">
        <f>IF(A35&lt;='Characteristics&amp;Parameters'!$B$17,'Characteristics&amp;Parameters'!$B$7,IF(ConcentrationsCalculations!A35="DS Node",'Characteristics&amp;Parameters'!$B$8,""))</f>
        <v>0.2</v>
      </c>
      <c r="C35" s="8"/>
      <c r="E35" s="7">
        <v>33</v>
      </c>
      <c r="F35" s="8">
        <v>0.2</v>
      </c>
      <c r="I35" s="7">
        <f>IF(I34&lt;'Characteristics&amp;Parameters'!$B$17,ConcentrationsCalculations!I34+1,IF(I34="DS Node","",IF(I34="","","DS Node")))</f>
        <v>33</v>
      </c>
      <c r="J35" s="13">
        <f>IF(I35="DS Node",'Characteristics&amp;Parameters'!$B$8,IF(I35&lt;='Characteristics&amp;Parameters'!$B$17,((1-'Characteristics&amp;Parameters'!$B$19)*ConcentrationsCalculations!F35+'Characteristics&amp;Parameters'!$B$19*ConcentrationsCalculations!F34-F35/86400*'Characteristics&amp;Parameters'!$B$11*'Characteristics&amp;Parameters'!$B$12),""))</f>
        <v>0.19998842592592594</v>
      </c>
    </row>
    <row r="36" spans="1:10" x14ac:dyDescent="0.5">
      <c r="A36" s="7">
        <f>IF(A35&lt;'Characteristics&amp;Parameters'!$B$17,ConcentrationsCalculations!A35+1,IF(A35="DS Node","",IF(A35="","","DS Node")))</f>
        <v>34</v>
      </c>
      <c r="B36" s="8">
        <f>IF(A36&lt;='Characteristics&amp;Parameters'!$B$17,'Characteristics&amp;Parameters'!$B$7,IF(ConcentrationsCalculations!A36="DS Node",'Characteristics&amp;Parameters'!$B$8,""))</f>
        <v>0.2</v>
      </c>
      <c r="C36" s="8"/>
      <c r="E36" s="7">
        <v>34</v>
      </c>
      <c r="F36" s="8">
        <v>0.2</v>
      </c>
      <c r="I36" s="7">
        <f>IF(I35&lt;'Characteristics&amp;Parameters'!$B$17,ConcentrationsCalculations!I35+1,IF(I35="DS Node","",IF(I35="","","DS Node")))</f>
        <v>34</v>
      </c>
      <c r="J36" s="13">
        <f>IF(I36="DS Node",'Characteristics&amp;Parameters'!$B$8,IF(I36&lt;='Characteristics&amp;Parameters'!$B$17,((1-'Characteristics&amp;Parameters'!$B$19)*ConcentrationsCalculations!F36+'Characteristics&amp;Parameters'!$B$19*ConcentrationsCalculations!F35-F36/86400*'Characteristics&amp;Parameters'!$B$11*'Characteristics&amp;Parameters'!$B$12),""))</f>
        <v>0.19998842592592594</v>
      </c>
    </row>
    <row r="37" spans="1:10" x14ac:dyDescent="0.5">
      <c r="A37" s="7">
        <f>IF(A36&lt;'Characteristics&amp;Parameters'!$B$17,ConcentrationsCalculations!A36+1,IF(A36="DS Node","",IF(A36="","","DS Node")))</f>
        <v>35</v>
      </c>
      <c r="B37" s="8">
        <f>IF(A37&lt;='Characteristics&amp;Parameters'!$B$17,'Characteristics&amp;Parameters'!$B$7,IF(ConcentrationsCalculations!A37="DS Node",'Characteristics&amp;Parameters'!$B$8,""))</f>
        <v>0.2</v>
      </c>
      <c r="C37" s="8"/>
      <c r="E37" s="7">
        <v>35</v>
      </c>
      <c r="F37" s="8">
        <v>0.2</v>
      </c>
      <c r="I37" s="7">
        <f>IF(I36&lt;'Characteristics&amp;Parameters'!$B$17,ConcentrationsCalculations!I36+1,IF(I36="DS Node","",IF(I36="","","DS Node")))</f>
        <v>35</v>
      </c>
      <c r="J37" s="13">
        <f>IF(I37="DS Node",'Characteristics&amp;Parameters'!$B$8,IF(I37&lt;='Characteristics&amp;Parameters'!$B$17,((1-'Characteristics&amp;Parameters'!$B$19)*ConcentrationsCalculations!F37+'Characteristics&amp;Parameters'!$B$19*ConcentrationsCalculations!F36-F37/86400*'Characteristics&amp;Parameters'!$B$11*'Characteristics&amp;Parameters'!$B$12),""))</f>
        <v>0.19998842592592594</v>
      </c>
    </row>
    <row r="38" spans="1:10" x14ac:dyDescent="0.5">
      <c r="A38" s="7">
        <f>IF(A37&lt;'Characteristics&amp;Parameters'!$B$17,ConcentrationsCalculations!A37+1,IF(A37="DS Node","",IF(A37="","","DS Node")))</f>
        <v>36</v>
      </c>
      <c r="B38" s="8">
        <f>IF(A38&lt;='Characteristics&amp;Parameters'!$B$17,'Characteristics&amp;Parameters'!$B$7,IF(ConcentrationsCalculations!A38="DS Node",'Characteristics&amp;Parameters'!$B$8,""))</f>
        <v>0.2</v>
      </c>
      <c r="C38" s="8"/>
      <c r="E38" s="7">
        <v>36</v>
      </c>
      <c r="F38" s="8">
        <v>0.2</v>
      </c>
      <c r="I38" s="7">
        <f>IF(I37&lt;'Characteristics&amp;Parameters'!$B$17,ConcentrationsCalculations!I37+1,IF(I37="DS Node","",IF(I37="","","DS Node")))</f>
        <v>36</v>
      </c>
      <c r="J38" s="13">
        <f>IF(I38="DS Node",'Characteristics&amp;Parameters'!$B$8,IF(I38&lt;='Characteristics&amp;Parameters'!$B$17,((1-'Characteristics&amp;Parameters'!$B$19)*ConcentrationsCalculations!F38+'Characteristics&amp;Parameters'!$B$19*ConcentrationsCalculations!F37-F38/86400*'Characteristics&amp;Parameters'!$B$11*'Characteristics&amp;Parameters'!$B$12),""))</f>
        <v>0.19998842592592594</v>
      </c>
    </row>
    <row r="39" spans="1:10" x14ac:dyDescent="0.5">
      <c r="A39" s="7">
        <f>IF(A38&lt;'Characteristics&amp;Parameters'!$B$17,ConcentrationsCalculations!A38+1,IF(A38="DS Node","",IF(A38="","","DS Node")))</f>
        <v>37</v>
      </c>
      <c r="B39" s="8">
        <f>IF(A39&lt;='Characteristics&amp;Parameters'!$B$17,'Characteristics&amp;Parameters'!$B$7,IF(ConcentrationsCalculations!A39="DS Node",'Characteristics&amp;Parameters'!$B$8,""))</f>
        <v>0.2</v>
      </c>
      <c r="C39" s="8"/>
      <c r="E39" s="7">
        <v>37</v>
      </c>
      <c r="F39" s="8">
        <v>0.2</v>
      </c>
      <c r="I39" s="7">
        <f>IF(I38&lt;'Characteristics&amp;Parameters'!$B$17,ConcentrationsCalculations!I38+1,IF(I38="DS Node","",IF(I38="","","DS Node")))</f>
        <v>37</v>
      </c>
      <c r="J39" s="13">
        <f>IF(I39="DS Node",'Characteristics&amp;Parameters'!$B$8,IF(I39&lt;='Characteristics&amp;Parameters'!$B$17,((1-'Characteristics&amp;Parameters'!$B$19)*ConcentrationsCalculations!F39+'Characteristics&amp;Parameters'!$B$19*ConcentrationsCalculations!F38-F39/86400*'Characteristics&amp;Parameters'!$B$11*'Characteristics&amp;Parameters'!$B$12),""))</f>
        <v>0.19998842592592594</v>
      </c>
    </row>
    <row r="40" spans="1:10" x14ac:dyDescent="0.5">
      <c r="A40" s="7">
        <f>IF(A39&lt;'Characteristics&amp;Parameters'!$B$17,ConcentrationsCalculations!A39+1,IF(A39="DS Node","",IF(A39="","","DS Node")))</f>
        <v>38</v>
      </c>
      <c r="B40" s="8">
        <f>IF(A40&lt;='Characteristics&amp;Parameters'!$B$17,'Characteristics&amp;Parameters'!$B$7,IF(ConcentrationsCalculations!A40="DS Node",'Characteristics&amp;Parameters'!$B$8,""))</f>
        <v>0.2</v>
      </c>
      <c r="C40" s="8"/>
      <c r="E40" s="7">
        <v>38</v>
      </c>
      <c r="F40" s="8">
        <v>0.2</v>
      </c>
      <c r="I40" s="7">
        <f>IF(I39&lt;'Characteristics&amp;Parameters'!$B$17,ConcentrationsCalculations!I39+1,IF(I39="DS Node","",IF(I39="","","DS Node")))</f>
        <v>38</v>
      </c>
      <c r="J40" s="13">
        <f>IF(I40="DS Node",'Characteristics&amp;Parameters'!$B$8,IF(I40&lt;='Characteristics&amp;Parameters'!$B$17,((1-'Characteristics&amp;Parameters'!$B$19)*ConcentrationsCalculations!F40+'Characteristics&amp;Parameters'!$B$19*ConcentrationsCalculations!F39-F40/86400*'Characteristics&amp;Parameters'!$B$11*'Characteristics&amp;Parameters'!$B$12),""))</f>
        <v>0.19998842592592594</v>
      </c>
    </row>
    <row r="41" spans="1:10" x14ac:dyDescent="0.5">
      <c r="A41" s="7">
        <f>IF(A40&lt;'Characteristics&amp;Parameters'!$B$17,ConcentrationsCalculations!A40+1,IF(A40="DS Node","",IF(A40="","","DS Node")))</f>
        <v>39</v>
      </c>
      <c r="B41" s="8">
        <f>IF(A41&lt;='Characteristics&amp;Parameters'!$B$17,'Characteristics&amp;Parameters'!$B$7,IF(ConcentrationsCalculations!A41="DS Node",'Characteristics&amp;Parameters'!$B$8,""))</f>
        <v>0.2</v>
      </c>
      <c r="C41" s="8"/>
      <c r="E41" s="7">
        <v>39</v>
      </c>
      <c r="F41" s="8">
        <v>0.2</v>
      </c>
      <c r="I41" s="7">
        <f>IF(I40&lt;'Characteristics&amp;Parameters'!$B$17,ConcentrationsCalculations!I40+1,IF(I40="DS Node","",IF(I40="","","DS Node")))</f>
        <v>39</v>
      </c>
      <c r="J41" s="13">
        <f>IF(I41="DS Node",'Characteristics&amp;Parameters'!$B$8,IF(I41&lt;='Characteristics&amp;Parameters'!$B$17,((1-'Characteristics&amp;Parameters'!$B$19)*ConcentrationsCalculations!F41+'Characteristics&amp;Parameters'!$B$19*ConcentrationsCalculations!F40-F41/86400*'Characteristics&amp;Parameters'!$B$11*'Characteristics&amp;Parameters'!$B$12),""))</f>
        <v>0.19998842592592594</v>
      </c>
    </row>
    <row r="42" spans="1:10" x14ac:dyDescent="0.5">
      <c r="A42" s="7">
        <f>IF(A41&lt;'Characteristics&amp;Parameters'!$B$17,ConcentrationsCalculations!A41+1,IF(A41="DS Node","",IF(A41="","","DS Node")))</f>
        <v>40</v>
      </c>
      <c r="B42" s="8">
        <f>IF(A42&lt;='Characteristics&amp;Parameters'!$B$17,'Characteristics&amp;Parameters'!$B$7,IF(ConcentrationsCalculations!A42="DS Node",'Characteristics&amp;Parameters'!$B$8,""))</f>
        <v>0.2</v>
      </c>
      <c r="C42" s="8"/>
      <c r="E42" s="7">
        <v>40</v>
      </c>
      <c r="F42" s="8">
        <v>0.2</v>
      </c>
      <c r="I42" s="7">
        <f>IF(I41&lt;'Characteristics&amp;Parameters'!$B$17,ConcentrationsCalculations!I41+1,IF(I41="DS Node","",IF(I41="","","DS Node")))</f>
        <v>40</v>
      </c>
      <c r="J42" s="13">
        <f>IF(I42="DS Node",'Characteristics&amp;Parameters'!$B$8,IF(I42&lt;='Characteristics&amp;Parameters'!$B$17,((1-'Characteristics&amp;Parameters'!$B$19)*ConcentrationsCalculations!F42+'Characteristics&amp;Parameters'!$B$19*ConcentrationsCalculations!F41-F42/86400*'Characteristics&amp;Parameters'!$B$11*'Characteristics&amp;Parameters'!$B$12),""))</f>
        <v>0.19998842592592594</v>
      </c>
    </row>
    <row r="43" spans="1:10" x14ac:dyDescent="0.5">
      <c r="A43" s="7">
        <f>IF(A42&lt;'Characteristics&amp;Parameters'!$B$17,ConcentrationsCalculations!A42+1,IF(A42="DS Node","",IF(A42="","","DS Node")))</f>
        <v>41</v>
      </c>
      <c r="B43" s="8">
        <f>IF(A43&lt;='Characteristics&amp;Parameters'!$B$17,'Characteristics&amp;Parameters'!$B$7,IF(ConcentrationsCalculations!A43="DS Node",'Characteristics&amp;Parameters'!$B$8,""))</f>
        <v>0.2</v>
      </c>
      <c r="C43" s="8"/>
      <c r="E43" s="7">
        <v>41</v>
      </c>
      <c r="F43" s="8">
        <v>0.2</v>
      </c>
      <c r="I43" s="7">
        <f>IF(I42&lt;'Characteristics&amp;Parameters'!$B$17,ConcentrationsCalculations!I42+1,IF(I42="DS Node","",IF(I42="","","DS Node")))</f>
        <v>41</v>
      </c>
      <c r="J43" s="13">
        <f>IF(I43="DS Node",'Characteristics&amp;Parameters'!$B$8,IF(I43&lt;='Characteristics&amp;Parameters'!$B$17,((1-'Characteristics&amp;Parameters'!$B$19)*ConcentrationsCalculations!F43+'Characteristics&amp;Parameters'!$B$19*ConcentrationsCalculations!F42-F43/86400*'Characteristics&amp;Parameters'!$B$11*'Characteristics&amp;Parameters'!$B$12),""))</f>
        <v>0.19998842592592594</v>
      </c>
    </row>
    <row r="44" spans="1:10" x14ac:dyDescent="0.5">
      <c r="A44" s="7">
        <f>IF(A43&lt;'Characteristics&amp;Parameters'!$B$17,ConcentrationsCalculations!A43+1,IF(A43="DS Node","",IF(A43="","","DS Node")))</f>
        <v>42</v>
      </c>
      <c r="B44" s="8">
        <f>IF(A44&lt;='Characteristics&amp;Parameters'!$B$17,'Characteristics&amp;Parameters'!$B$7,IF(ConcentrationsCalculations!A44="DS Node",'Characteristics&amp;Parameters'!$B$8,""))</f>
        <v>0.2</v>
      </c>
      <c r="C44" s="8"/>
      <c r="E44" s="7">
        <v>42</v>
      </c>
      <c r="F44" s="8">
        <v>0.2</v>
      </c>
      <c r="I44" s="7">
        <f>IF(I43&lt;'Characteristics&amp;Parameters'!$B$17,ConcentrationsCalculations!I43+1,IF(I43="DS Node","",IF(I43="","","DS Node")))</f>
        <v>42</v>
      </c>
      <c r="J44" s="13">
        <f>IF(I44="DS Node",'Characteristics&amp;Parameters'!$B$8,IF(I44&lt;='Characteristics&amp;Parameters'!$B$17,((1-'Characteristics&amp;Parameters'!$B$19)*ConcentrationsCalculations!F44+'Characteristics&amp;Parameters'!$B$19*ConcentrationsCalculations!F43-F44/86400*'Characteristics&amp;Parameters'!$B$11*'Characteristics&amp;Parameters'!$B$12),""))</f>
        <v>0.19998842592592594</v>
      </c>
    </row>
    <row r="45" spans="1:10" x14ac:dyDescent="0.5">
      <c r="A45" s="7">
        <f>IF(A44&lt;'Characteristics&amp;Parameters'!$B$17,ConcentrationsCalculations!A44+1,IF(A44="DS Node","",IF(A44="","","DS Node")))</f>
        <v>43</v>
      </c>
      <c r="B45" s="8">
        <f>IF(A45&lt;='Characteristics&amp;Parameters'!$B$17,'Characteristics&amp;Parameters'!$B$7,IF(ConcentrationsCalculations!A45="DS Node",'Characteristics&amp;Parameters'!$B$8,""))</f>
        <v>0.2</v>
      </c>
      <c r="C45" s="8"/>
      <c r="E45" s="7">
        <v>43</v>
      </c>
      <c r="F45" s="8">
        <v>0.2</v>
      </c>
      <c r="I45" s="7">
        <f>IF(I44&lt;'Characteristics&amp;Parameters'!$B$17,ConcentrationsCalculations!I44+1,IF(I44="DS Node","",IF(I44="","","DS Node")))</f>
        <v>43</v>
      </c>
      <c r="J45" s="13">
        <f>IF(I45="DS Node",'Characteristics&amp;Parameters'!$B$8,IF(I45&lt;='Characteristics&amp;Parameters'!$B$17,((1-'Characteristics&amp;Parameters'!$B$19)*ConcentrationsCalculations!F45+'Characteristics&amp;Parameters'!$B$19*ConcentrationsCalculations!F44-F45/86400*'Characteristics&amp;Parameters'!$B$11*'Characteristics&amp;Parameters'!$B$12),""))</f>
        <v>0.19998842592592594</v>
      </c>
    </row>
    <row r="46" spans="1:10" x14ac:dyDescent="0.5">
      <c r="A46" s="7">
        <f>IF(A45&lt;'Characteristics&amp;Parameters'!$B$17,ConcentrationsCalculations!A45+1,IF(A45="DS Node","",IF(A45="","","DS Node")))</f>
        <v>44</v>
      </c>
      <c r="B46" s="8">
        <f>IF(A46&lt;='Characteristics&amp;Parameters'!$B$17,'Characteristics&amp;Parameters'!$B$7,IF(ConcentrationsCalculations!A46="DS Node",'Characteristics&amp;Parameters'!$B$8,""))</f>
        <v>0.2</v>
      </c>
      <c r="C46" s="8"/>
      <c r="E46" s="7">
        <v>44</v>
      </c>
      <c r="F46" s="8">
        <v>0.2</v>
      </c>
      <c r="I46" s="7">
        <f>IF(I45&lt;'Characteristics&amp;Parameters'!$B$17,ConcentrationsCalculations!I45+1,IF(I45="DS Node","",IF(I45="","","DS Node")))</f>
        <v>44</v>
      </c>
      <c r="J46" s="13">
        <f>IF(I46="DS Node",'Characteristics&amp;Parameters'!$B$8,IF(I46&lt;='Characteristics&amp;Parameters'!$B$17,((1-'Characteristics&amp;Parameters'!$B$19)*ConcentrationsCalculations!F46+'Characteristics&amp;Parameters'!$B$19*ConcentrationsCalculations!F45-F46/86400*'Characteristics&amp;Parameters'!$B$11*'Characteristics&amp;Parameters'!$B$12),""))</f>
        <v>0.19998842592592594</v>
      </c>
    </row>
    <row r="47" spans="1:10" x14ac:dyDescent="0.5">
      <c r="A47" s="7">
        <f>IF(A46&lt;'Characteristics&amp;Parameters'!$B$17,ConcentrationsCalculations!A46+1,IF(A46="DS Node","",IF(A46="","","DS Node")))</f>
        <v>45</v>
      </c>
      <c r="B47" s="8">
        <f>IF(A47&lt;='Characteristics&amp;Parameters'!$B$17,'Characteristics&amp;Parameters'!$B$7,IF(ConcentrationsCalculations!A47="DS Node",'Characteristics&amp;Parameters'!$B$8,""))</f>
        <v>0.2</v>
      </c>
      <c r="C47" s="8"/>
      <c r="E47" s="7">
        <v>45</v>
      </c>
      <c r="F47" s="8">
        <v>0.2</v>
      </c>
      <c r="I47" s="7">
        <f>IF(I46&lt;'Characteristics&amp;Parameters'!$B$17,ConcentrationsCalculations!I46+1,IF(I46="DS Node","",IF(I46="","","DS Node")))</f>
        <v>45</v>
      </c>
      <c r="J47" s="13">
        <f>IF(I47="DS Node",'Characteristics&amp;Parameters'!$B$8,IF(I47&lt;='Characteristics&amp;Parameters'!$B$17,((1-'Characteristics&amp;Parameters'!$B$19)*ConcentrationsCalculations!F47+'Characteristics&amp;Parameters'!$B$19*ConcentrationsCalculations!F46-F47/86400*'Characteristics&amp;Parameters'!$B$11*'Characteristics&amp;Parameters'!$B$12),""))</f>
        <v>0.19998842592592594</v>
      </c>
    </row>
    <row r="48" spans="1:10" x14ac:dyDescent="0.5">
      <c r="A48" s="7">
        <f>IF(A47&lt;'Characteristics&amp;Parameters'!$B$17,ConcentrationsCalculations!A47+1,IF(A47="DS Node","",IF(A47="","","DS Node")))</f>
        <v>46</v>
      </c>
      <c r="B48" s="8">
        <f>IF(A48&lt;='Characteristics&amp;Parameters'!$B$17,'Characteristics&amp;Parameters'!$B$7,IF(ConcentrationsCalculations!A48="DS Node",'Characteristics&amp;Parameters'!$B$8,""))</f>
        <v>0.2</v>
      </c>
      <c r="C48" s="8"/>
      <c r="E48" s="7">
        <v>46</v>
      </c>
      <c r="F48" s="8">
        <v>0.2</v>
      </c>
      <c r="I48" s="7">
        <f>IF(I47&lt;'Characteristics&amp;Parameters'!$B$17,ConcentrationsCalculations!I47+1,IF(I47="DS Node","",IF(I47="","","DS Node")))</f>
        <v>46</v>
      </c>
      <c r="J48" s="13">
        <f>IF(I48="DS Node",'Characteristics&amp;Parameters'!$B$8,IF(I48&lt;='Characteristics&amp;Parameters'!$B$17,((1-'Characteristics&amp;Parameters'!$B$19)*ConcentrationsCalculations!F48+'Characteristics&amp;Parameters'!$B$19*ConcentrationsCalculations!F47-F48/86400*'Characteristics&amp;Parameters'!$B$11*'Characteristics&amp;Parameters'!$B$12),""))</f>
        <v>0.19998842592592594</v>
      </c>
    </row>
    <row r="49" spans="1:10" x14ac:dyDescent="0.5">
      <c r="A49" s="7">
        <f>IF(A48&lt;'Characteristics&amp;Parameters'!$B$17,ConcentrationsCalculations!A48+1,IF(A48="DS Node","",IF(A48="","","DS Node")))</f>
        <v>47</v>
      </c>
      <c r="B49" s="8">
        <f>IF(A49&lt;='Characteristics&amp;Parameters'!$B$17,'Characteristics&amp;Parameters'!$B$7,IF(ConcentrationsCalculations!A49="DS Node",'Characteristics&amp;Parameters'!$B$8,""))</f>
        <v>0.2</v>
      </c>
      <c r="C49" s="8"/>
      <c r="E49" s="7">
        <v>47</v>
      </c>
      <c r="F49" s="8">
        <v>0.2</v>
      </c>
      <c r="I49" s="7">
        <f>IF(I48&lt;'Characteristics&amp;Parameters'!$B$17,ConcentrationsCalculations!I48+1,IF(I48="DS Node","",IF(I48="","","DS Node")))</f>
        <v>47</v>
      </c>
      <c r="J49" s="13">
        <f>IF(I49="DS Node",'Characteristics&amp;Parameters'!$B$8,IF(I49&lt;='Characteristics&amp;Parameters'!$B$17,((1-'Characteristics&amp;Parameters'!$B$19)*ConcentrationsCalculations!F49+'Characteristics&amp;Parameters'!$B$19*ConcentrationsCalculations!F48-F49/86400*'Characteristics&amp;Parameters'!$B$11*'Characteristics&amp;Parameters'!$B$12),""))</f>
        <v>0.19998842592592594</v>
      </c>
    </row>
    <row r="50" spans="1:10" x14ac:dyDescent="0.5">
      <c r="A50" s="7">
        <f>IF(A49&lt;'Characteristics&amp;Parameters'!$B$17,ConcentrationsCalculations!A49+1,IF(A49="DS Node","",IF(A49="","","DS Node")))</f>
        <v>48</v>
      </c>
      <c r="B50" s="8">
        <f>IF(A50&lt;='Characteristics&amp;Parameters'!$B$17,'Characteristics&amp;Parameters'!$B$7,IF(ConcentrationsCalculations!A50="DS Node",'Characteristics&amp;Parameters'!$B$8,""))</f>
        <v>0.2</v>
      </c>
      <c r="C50" s="8"/>
      <c r="E50" s="7">
        <v>48</v>
      </c>
      <c r="F50" s="8">
        <v>0.2</v>
      </c>
      <c r="I50" s="7">
        <f>IF(I49&lt;'Characteristics&amp;Parameters'!$B$17,ConcentrationsCalculations!I49+1,IF(I49="DS Node","",IF(I49="","","DS Node")))</f>
        <v>48</v>
      </c>
      <c r="J50" s="13">
        <f>IF(I50="DS Node",'Characteristics&amp;Parameters'!$B$8,IF(I50&lt;='Characteristics&amp;Parameters'!$B$17,((1-'Characteristics&amp;Parameters'!$B$19)*ConcentrationsCalculations!F50+'Characteristics&amp;Parameters'!$B$19*ConcentrationsCalculations!F49-F50/86400*'Characteristics&amp;Parameters'!$B$11*'Characteristics&amp;Parameters'!$B$12),""))</f>
        <v>0.19998842592592594</v>
      </c>
    </row>
    <row r="51" spans="1:10" x14ac:dyDescent="0.5">
      <c r="A51" s="7">
        <f>IF(A50&lt;'Characteristics&amp;Parameters'!$B$17,ConcentrationsCalculations!A50+1,IF(A50="DS Node","",IF(A50="","","DS Node")))</f>
        <v>49</v>
      </c>
      <c r="B51" s="8">
        <f>IF(A51&lt;='Characteristics&amp;Parameters'!$B$17,'Characteristics&amp;Parameters'!$B$7,IF(ConcentrationsCalculations!A51="DS Node",'Characteristics&amp;Parameters'!$B$8,""))</f>
        <v>0.2</v>
      </c>
      <c r="C51" s="8"/>
      <c r="E51" s="7">
        <v>49</v>
      </c>
      <c r="F51" s="8">
        <v>0.2</v>
      </c>
      <c r="I51" s="7">
        <f>IF(I50&lt;'Characteristics&amp;Parameters'!$B$17,ConcentrationsCalculations!I50+1,IF(I50="DS Node","",IF(I50="","","DS Node")))</f>
        <v>49</v>
      </c>
      <c r="J51" s="13">
        <f>IF(I51="DS Node",'Characteristics&amp;Parameters'!$B$8,IF(I51&lt;='Characteristics&amp;Parameters'!$B$17,((1-'Characteristics&amp;Parameters'!$B$19)*ConcentrationsCalculations!F51+'Characteristics&amp;Parameters'!$B$19*ConcentrationsCalculations!F50-F51/86400*'Characteristics&amp;Parameters'!$B$11*'Characteristics&amp;Parameters'!$B$12),""))</f>
        <v>0.19998842592592594</v>
      </c>
    </row>
    <row r="52" spans="1:10" x14ac:dyDescent="0.5">
      <c r="A52" s="7">
        <f>IF(A51&lt;'Characteristics&amp;Parameters'!$B$17,ConcentrationsCalculations!A51+1,IF(A51="DS Node","",IF(A51="","","DS Node")))</f>
        <v>50</v>
      </c>
      <c r="B52" s="8">
        <f>IF(A52&lt;='Characteristics&amp;Parameters'!$B$17,'Characteristics&amp;Parameters'!$B$7,IF(ConcentrationsCalculations!A52="DS Node",'Characteristics&amp;Parameters'!$B$8,""))</f>
        <v>0.2</v>
      </c>
      <c r="C52" s="8"/>
      <c r="E52" s="7">
        <v>50</v>
      </c>
      <c r="F52" s="8">
        <v>0.2</v>
      </c>
      <c r="I52" s="7">
        <f>IF(I51&lt;'Characteristics&amp;Parameters'!$B$17,ConcentrationsCalculations!I51+1,IF(I51="DS Node","",IF(I51="","","DS Node")))</f>
        <v>50</v>
      </c>
      <c r="J52" s="13">
        <f>IF(I52="DS Node",'Characteristics&amp;Parameters'!$B$8,IF(I52&lt;='Characteristics&amp;Parameters'!$B$17,((1-'Characteristics&amp;Parameters'!$B$19)*ConcentrationsCalculations!F52+'Characteristics&amp;Parameters'!$B$19*ConcentrationsCalculations!F51-F52/86400*'Characteristics&amp;Parameters'!$B$11*'Characteristics&amp;Parameters'!$B$12),""))</f>
        <v>0.19998842592592594</v>
      </c>
    </row>
    <row r="53" spans="1:10" x14ac:dyDescent="0.5">
      <c r="A53" s="7">
        <f>IF(A52&lt;'Characteristics&amp;Parameters'!$B$17,ConcentrationsCalculations!A52+1,IF(A52="DS Node","",IF(A52="","","DS Node")))</f>
        <v>51</v>
      </c>
      <c r="B53" s="8">
        <f>IF(A53&lt;='Characteristics&amp;Parameters'!$B$17,'Characteristics&amp;Parameters'!$B$7,IF(ConcentrationsCalculations!A53="DS Node",'Characteristics&amp;Parameters'!$B$8,""))</f>
        <v>0.2</v>
      </c>
      <c r="C53" s="8"/>
      <c r="E53" s="7">
        <v>51</v>
      </c>
      <c r="F53" s="8">
        <v>0.2</v>
      </c>
      <c r="I53" s="7">
        <f>IF(I52&lt;'Characteristics&amp;Parameters'!$B$17,ConcentrationsCalculations!I52+1,IF(I52="DS Node","",IF(I52="","","DS Node")))</f>
        <v>51</v>
      </c>
      <c r="J53" s="13">
        <f>IF(I53="DS Node",'Characteristics&amp;Parameters'!$B$8,IF(I53&lt;='Characteristics&amp;Parameters'!$B$17,((1-'Characteristics&amp;Parameters'!$B$19)*ConcentrationsCalculations!F53+'Characteristics&amp;Parameters'!$B$19*ConcentrationsCalculations!F52-F53/86400*'Characteristics&amp;Parameters'!$B$11*'Characteristics&amp;Parameters'!$B$12),""))</f>
        <v>0.19998842592592594</v>
      </c>
    </row>
    <row r="54" spans="1:10" x14ac:dyDescent="0.5">
      <c r="A54" s="7">
        <f>IF(A53&lt;'Characteristics&amp;Parameters'!$B$17,ConcentrationsCalculations!A53+1,IF(A53="DS Node","",IF(A53="","","DS Node")))</f>
        <v>52</v>
      </c>
      <c r="B54" s="8">
        <f>IF(A54&lt;='Characteristics&amp;Parameters'!$B$17,'Characteristics&amp;Parameters'!$B$7,IF(ConcentrationsCalculations!A54="DS Node",'Characteristics&amp;Parameters'!$B$8,""))</f>
        <v>0.2</v>
      </c>
      <c r="C54" s="8"/>
      <c r="E54" s="7">
        <v>52</v>
      </c>
      <c r="F54" s="8">
        <v>0.2</v>
      </c>
      <c r="I54" s="7">
        <f>IF(I53&lt;'Characteristics&amp;Parameters'!$B$17,ConcentrationsCalculations!I53+1,IF(I53="DS Node","",IF(I53="","","DS Node")))</f>
        <v>52</v>
      </c>
      <c r="J54" s="13">
        <f>IF(I54="DS Node",'Characteristics&amp;Parameters'!$B$8,IF(I54&lt;='Characteristics&amp;Parameters'!$B$17,((1-'Characteristics&amp;Parameters'!$B$19)*ConcentrationsCalculations!F54+'Characteristics&amp;Parameters'!$B$19*ConcentrationsCalculations!F53-F54/86400*'Characteristics&amp;Parameters'!$B$11*'Characteristics&amp;Parameters'!$B$12),""))</f>
        <v>0.19998842592592594</v>
      </c>
    </row>
    <row r="55" spans="1:10" x14ac:dyDescent="0.5">
      <c r="A55" s="7">
        <f>IF(A54&lt;'Characteristics&amp;Parameters'!$B$17,ConcentrationsCalculations!A54+1,IF(A54="DS Node","",IF(A54="","","DS Node")))</f>
        <v>53</v>
      </c>
      <c r="B55" s="8">
        <f>IF(A55&lt;='Characteristics&amp;Parameters'!$B$17,'Characteristics&amp;Parameters'!$B$7,IF(ConcentrationsCalculations!A55="DS Node",'Characteristics&amp;Parameters'!$B$8,""))</f>
        <v>0.2</v>
      </c>
      <c r="C55" s="8"/>
      <c r="E55" s="7">
        <v>53</v>
      </c>
      <c r="F55" s="8">
        <v>0.2</v>
      </c>
      <c r="I55" s="7">
        <f>IF(I54&lt;'Characteristics&amp;Parameters'!$B$17,ConcentrationsCalculations!I54+1,IF(I54="DS Node","",IF(I54="","","DS Node")))</f>
        <v>53</v>
      </c>
      <c r="J55" s="13">
        <f>IF(I55="DS Node",'Characteristics&amp;Parameters'!$B$8,IF(I55&lt;='Characteristics&amp;Parameters'!$B$17,((1-'Characteristics&amp;Parameters'!$B$19)*ConcentrationsCalculations!F55+'Characteristics&amp;Parameters'!$B$19*ConcentrationsCalculations!F54-F55/86400*'Characteristics&amp;Parameters'!$B$11*'Characteristics&amp;Parameters'!$B$12),""))</f>
        <v>0.19998842592592594</v>
      </c>
    </row>
    <row r="56" spans="1:10" x14ac:dyDescent="0.5">
      <c r="A56" s="7">
        <f>IF(A55&lt;'Characteristics&amp;Parameters'!$B$17,ConcentrationsCalculations!A55+1,IF(A55="DS Node","",IF(A55="","","DS Node")))</f>
        <v>54</v>
      </c>
      <c r="B56" s="8">
        <f>IF(A56&lt;='Characteristics&amp;Parameters'!$B$17,'Characteristics&amp;Parameters'!$B$7,IF(ConcentrationsCalculations!A56="DS Node",'Characteristics&amp;Parameters'!$B$8,""))</f>
        <v>0.2</v>
      </c>
      <c r="C56" s="8"/>
      <c r="E56" s="7">
        <v>54</v>
      </c>
      <c r="F56" s="8">
        <v>0.2</v>
      </c>
      <c r="I56" s="7">
        <f>IF(I55&lt;'Characteristics&amp;Parameters'!$B$17,ConcentrationsCalculations!I55+1,IF(I55="DS Node","",IF(I55="","","DS Node")))</f>
        <v>54</v>
      </c>
      <c r="J56" s="13">
        <f>IF(I56="DS Node",'Characteristics&amp;Parameters'!$B$8,IF(I56&lt;='Characteristics&amp;Parameters'!$B$17,((1-'Characteristics&amp;Parameters'!$B$19)*ConcentrationsCalculations!F56+'Characteristics&amp;Parameters'!$B$19*ConcentrationsCalculations!F55-F56/86400*'Characteristics&amp;Parameters'!$B$11*'Characteristics&amp;Parameters'!$B$12),""))</f>
        <v>0.19998842592592594</v>
      </c>
    </row>
    <row r="57" spans="1:10" x14ac:dyDescent="0.5">
      <c r="A57" s="7">
        <f>IF(A56&lt;'Characteristics&amp;Parameters'!$B$17,ConcentrationsCalculations!A56+1,IF(A56="DS Node","",IF(A56="","","DS Node")))</f>
        <v>55</v>
      </c>
      <c r="B57" s="8">
        <f>IF(A57&lt;='Characteristics&amp;Parameters'!$B$17,'Characteristics&amp;Parameters'!$B$7,IF(ConcentrationsCalculations!A57="DS Node",'Characteristics&amp;Parameters'!$B$8,""))</f>
        <v>0.2</v>
      </c>
      <c r="C57" s="8"/>
      <c r="E57" s="7">
        <v>55</v>
      </c>
      <c r="F57" s="8">
        <v>0.2</v>
      </c>
      <c r="I57" s="7">
        <f>IF(I56&lt;'Characteristics&amp;Parameters'!$B$17,ConcentrationsCalculations!I56+1,IF(I56="DS Node","",IF(I56="","","DS Node")))</f>
        <v>55</v>
      </c>
      <c r="J57" s="13">
        <f>IF(I57="DS Node",'Characteristics&amp;Parameters'!$B$8,IF(I57&lt;='Characteristics&amp;Parameters'!$B$17,((1-'Characteristics&amp;Parameters'!$B$19)*ConcentrationsCalculations!F57+'Characteristics&amp;Parameters'!$B$19*ConcentrationsCalculations!F56-F57/86400*'Characteristics&amp;Parameters'!$B$11*'Characteristics&amp;Parameters'!$B$12),""))</f>
        <v>0.19998842592592594</v>
      </c>
    </row>
    <row r="58" spans="1:10" x14ac:dyDescent="0.5">
      <c r="A58" s="7">
        <f>IF(A57&lt;'Characteristics&amp;Parameters'!$B$17,ConcentrationsCalculations!A57+1,IF(A57="DS Node","",IF(A57="","","DS Node")))</f>
        <v>56</v>
      </c>
      <c r="B58" s="8">
        <f>IF(A58&lt;='Characteristics&amp;Parameters'!$B$17,'Characteristics&amp;Parameters'!$B$7,IF(ConcentrationsCalculations!A58="DS Node",'Characteristics&amp;Parameters'!$B$8,""))</f>
        <v>0.2</v>
      </c>
      <c r="C58" s="8"/>
      <c r="E58" s="7">
        <v>56</v>
      </c>
      <c r="F58" s="8">
        <v>0.2</v>
      </c>
      <c r="I58" s="7">
        <f>IF(I57&lt;'Characteristics&amp;Parameters'!$B$17,ConcentrationsCalculations!I57+1,IF(I57="DS Node","",IF(I57="","","DS Node")))</f>
        <v>56</v>
      </c>
      <c r="J58" s="13">
        <f>IF(I58="DS Node",'Characteristics&amp;Parameters'!$B$8,IF(I58&lt;='Characteristics&amp;Parameters'!$B$17,((1-'Characteristics&amp;Parameters'!$B$19)*ConcentrationsCalculations!F58+'Characteristics&amp;Parameters'!$B$19*ConcentrationsCalculations!F57-F58/86400*'Characteristics&amp;Parameters'!$B$11*'Characteristics&amp;Parameters'!$B$12),""))</f>
        <v>0.19998842592592594</v>
      </c>
    </row>
    <row r="59" spans="1:10" x14ac:dyDescent="0.5">
      <c r="A59" s="7">
        <f>IF(A58&lt;'Characteristics&amp;Parameters'!$B$17,ConcentrationsCalculations!A58+1,IF(A58="DS Node","",IF(A58="","","DS Node")))</f>
        <v>57</v>
      </c>
      <c r="B59" s="8">
        <f>IF(A59&lt;='Characteristics&amp;Parameters'!$B$17,'Characteristics&amp;Parameters'!$B$7,IF(ConcentrationsCalculations!A59="DS Node",'Characteristics&amp;Parameters'!$B$8,""))</f>
        <v>0.2</v>
      </c>
      <c r="C59" s="8"/>
      <c r="E59" s="7">
        <v>57</v>
      </c>
      <c r="F59" s="8">
        <v>0.2</v>
      </c>
      <c r="I59" s="7">
        <f>IF(I58&lt;'Characteristics&amp;Parameters'!$B$17,ConcentrationsCalculations!I58+1,IF(I58="DS Node","",IF(I58="","","DS Node")))</f>
        <v>57</v>
      </c>
      <c r="J59" s="13">
        <f>IF(I59="DS Node",'Characteristics&amp;Parameters'!$B$8,IF(I59&lt;='Characteristics&amp;Parameters'!$B$17,((1-'Characteristics&amp;Parameters'!$B$19)*ConcentrationsCalculations!F59+'Characteristics&amp;Parameters'!$B$19*ConcentrationsCalculations!F58-F59/86400*'Characteristics&amp;Parameters'!$B$11*'Characteristics&amp;Parameters'!$B$12),""))</f>
        <v>0.19998842592592594</v>
      </c>
    </row>
    <row r="60" spans="1:10" x14ac:dyDescent="0.5">
      <c r="A60" s="7">
        <f>IF(A59&lt;'Characteristics&amp;Parameters'!$B$17,ConcentrationsCalculations!A59+1,IF(A59="DS Node","",IF(A59="","","DS Node")))</f>
        <v>58</v>
      </c>
      <c r="B60" s="8">
        <f>IF(A60&lt;='Characteristics&amp;Parameters'!$B$17,'Characteristics&amp;Parameters'!$B$7,IF(ConcentrationsCalculations!A60="DS Node",'Characteristics&amp;Parameters'!$B$8,""))</f>
        <v>0.2</v>
      </c>
      <c r="C60" s="8"/>
      <c r="E60" s="7">
        <v>58</v>
      </c>
      <c r="F60" s="8">
        <v>0.2</v>
      </c>
      <c r="I60" s="7">
        <f>IF(I59&lt;'Characteristics&amp;Parameters'!$B$17,ConcentrationsCalculations!I59+1,IF(I59="DS Node","",IF(I59="","","DS Node")))</f>
        <v>58</v>
      </c>
      <c r="J60" s="13">
        <f>IF(I60="DS Node",'Characteristics&amp;Parameters'!$B$8,IF(I60&lt;='Characteristics&amp;Parameters'!$B$17,((1-'Characteristics&amp;Parameters'!$B$19)*ConcentrationsCalculations!F60+'Characteristics&amp;Parameters'!$B$19*ConcentrationsCalculations!F59-F60/86400*'Characteristics&amp;Parameters'!$B$11*'Characteristics&amp;Parameters'!$B$12),""))</f>
        <v>0.19998842592592594</v>
      </c>
    </row>
    <row r="61" spans="1:10" x14ac:dyDescent="0.5">
      <c r="A61" s="7">
        <f>IF(A60&lt;'Characteristics&amp;Parameters'!$B$17,ConcentrationsCalculations!A60+1,IF(A60="DS Node","",IF(A60="","","DS Node")))</f>
        <v>59</v>
      </c>
      <c r="B61" s="8">
        <f>IF(A61&lt;='Characteristics&amp;Parameters'!$B$17,'Characteristics&amp;Parameters'!$B$7,IF(ConcentrationsCalculations!A61="DS Node",'Characteristics&amp;Parameters'!$B$8,""))</f>
        <v>0.2</v>
      </c>
      <c r="C61" s="8"/>
      <c r="E61" s="7">
        <v>59</v>
      </c>
      <c r="F61" s="8">
        <v>0.2</v>
      </c>
      <c r="I61" s="7">
        <f>IF(I60&lt;'Characteristics&amp;Parameters'!$B$17,ConcentrationsCalculations!I60+1,IF(I60="DS Node","",IF(I60="","","DS Node")))</f>
        <v>59</v>
      </c>
      <c r="J61" s="13">
        <f>IF(I61="DS Node",'Characteristics&amp;Parameters'!$B$8,IF(I61&lt;='Characteristics&amp;Parameters'!$B$17,((1-'Characteristics&amp;Parameters'!$B$19)*ConcentrationsCalculations!F61+'Characteristics&amp;Parameters'!$B$19*ConcentrationsCalculations!F60-F61/86400*'Characteristics&amp;Parameters'!$B$11*'Characteristics&amp;Parameters'!$B$12),""))</f>
        <v>0.19998842592592594</v>
      </c>
    </row>
    <row r="62" spans="1:10" x14ac:dyDescent="0.5">
      <c r="A62" s="7">
        <f>IF(A61&lt;'Characteristics&amp;Parameters'!$B$17,ConcentrationsCalculations!A61+1,IF(A61="DS Node","",IF(A61="","","DS Node")))</f>
        <v>60</v>
      </c>
      <c r="B62" s="8">
        <f>IF(A62&lt;='Characteristics&amp;Parameters'!$B$17,'Characteristics&amp;Parameters'!$B$7,IF(ConcentrationsCalculations!A62="DS Node",'Characteristics&amp;Parameters'!$B$8,""))</f>
        <v>0.2</v>
      </c>
      <c r="C62" s="8"/>
      <c r="E62" s="7">
        <v>60</v>
      </c>
      <c r="F62" s="8">
        <v>0.2</v>
      </c>
      <c r="I62" s="7">
        <f>IF(I61&lt;'Characteristics&amp;Parameters'!$B$17,ConcentrationsCalculations!I61+1,IF(I61="DS Node","",IF(I61="","","DS Node")))</f>
        <v>60</v>
      </c>
      <c r="J62" s="13">
        <f>IF(I62="DS Node",'Characteristics&amp;Parameters'!$B$8,IF(I62&lt;='Characteristics&amp;Parameters'!$B$17,((1-'Characteristics&amp;Parameters'!$B$19)*ConcentrationsCalculations!F62+'Characteristics&amp;Parameters'!$B$19*ConcentrationsCalculations!F61-F62/86400*'Characteristics&amp;Parameters'!$B$11*'Characteristics&amp;Parameters'!$B$12),""))</f>
        <v>0.19998842592592594</v>
      </c>
    </row>
    <row r="63" spans="1:10" x14ac:dyDescent="0.5">
      <c r="A63" s="7" t="str">
        <f>IF(A62&lt;'Characteristics&amp;Parameters'!$B$17,ConcentrationsCalculations!A62+1,IF(A62="DS Node","",IF(A62="","","DS Node")))</f>
        <v>DS Node</v>
      </c>
      <c r="B63" s="8">
        <f>IF(A63&lt;='Characteristics&amp;Parameters'!$B$17,'Characteristics&amp;Parameters'!$B$7,IF(ConcentrationsCalculations!A63="DS Node",'Characteristics&amp;Parameters'!$B$8,""))</f>
        <v>0.2</v>
      </c>
      <c r="C63" s="8"/>
      <c r="E63" s="7" t="s">
        <v>24</v>
      </c>
      <c r="F63" s="8">
        <v>0.2</v>
      </c>
      <c r="I63" s="7" t="str">
        <f>IF(I62&lt;'Characteristics&amp;Parameters'!$B$17,ConcentrationsCalculations!I62+1,IF(I62="DS Node","",IF(I62="","","DS Node")))</f>
        <v>DS Node</v>
      </c>
      <c r="J63" s="13">
        <f>IF(I63="DS Node",J62,IF(I63&lt;='Characteristics&amp;Parameters'!$B$17,((1-'Characteristics&amp;Parameters'!$B$19)*ConcentrationsCalculations!F63+'Characteristics&amp;Parameters'!$B$19*ConcentrationsCalculations!F62-F63/86400*'Characteristics&amp;Parameters'!$B$11*'Characteristics&amp;Parameters'!$B$12),""))</f>
        <v>0.19998842592592594</v>
      </c>
    </row>
    <row r="64" spans="1:10" x14ac:dyDescent="0.5">
      <c r="A64" s="7" t="str">
        <f>IF(A63&lt;'Characteristics&amp;Parameters'!$B$17,ConcentrationsCalculations!A63+1,IF(A63="DS Node","",IF(A63="","","DS Node")))</f>
        <v/>
      </c>
      <c r="B64" s="8" t="str">
        <f>IF(A64&lt;='Characteristics&amp;Parameters'!$B$17,'Characteristics&amp;Parameters'!$B$7,IF(ConcentrationsCalculations!A64="DS Node",'Characteristics&amp;Parameters'!$B$8,""))</f>
        <v/>
      </c>
      <c r="C64" s="8"/>
      <c r="E64" s="7" t="s">
        <v>25</v>
      </c>
      <c r="F64" s="8" t="s">
        <v>25</v>
      </c>
      <c r="I64" s="7" t="str">
        <f>IF(I63&lt;'Characteristics&amp;Parameters'!$B$17,ConcentrationsCalculations!I63+1,IF(I63="DS Node","",IF(I63="","","DS Node")))</f>
        <v/>
      </c>
      <c r="J64" s="13" t="str">
        <f>IF(I64="DS Node",'Characteristics&amp;Parameters'!$B$8,IF(I64&lt;='Characteristics&amp;Parameters'!$B$17,((1-'Characteristics&amp;Parameters'!$B$19)*ConcentrationsCalculations!F64+'Characteristics&amp;Parameters'!$B$19*ConcentrationsCalculations!F63-F64/86400*'Characteristics&amp;Parameters'!$B$11*'Characteristics&amp;Parameters'!$B$12),""))</f>
        <v/>
      </c>
    </row>
    <row r="65" spans="1:10" x14ac:dyDescent="0.5">
      <c r="A65" s="7" t="str">
        <f>IF(A64&lt;'Characteristics&amp;Parameters'!$B$17,ConcentrationsCalculations!A64+1,IF(A64="DS Node","",IF(A64="","","DS Node")))</f>
        <v/>
      </c>
      <c r="B65" s="8" t="str">
        <f>IF(A65&lt;='Characteristics&amp;Parameters'!$B$17,'Characteristics&amp;Parameters'!$B$7,IF(ConcentrationsCalculations!A65="DS Node",'Characteristics&amp;Parameters'!$B$8,""))</f>
        <v/>
      </c>
      <c r="C65" s="8"/>
      <c r="E65" s="7" t="s">
        <v>25</v>
      </c>
      <c r="F65" s="8" t="s">
        <v>25</v>
      </c>
      <c r="I65" s="7" t="str">
        <f>IF(I64&lt;'Characteristics&amp;Parameters'!$B$17,ConcentrationsCalculations!I64+1,IF(I64="DS Node","",IF(I64="","","DS Node")))</f>
        <v/>
      </c>
      <c r="J65" s="13" t="str">
        <f>IF(I65="DS Node",'Characteristics&amp;Parameters'!$B$8,IF(I65&lt;='Characteristics&amp;Parameters'!$B$17,((1-'Characteristics&amp;Parameters'!$B$19)*ConcentrationsCalculations!F65+'Characteristics&amp;Parameters'!$B$19*ConcentrationsCalculations!F64-F65/86400*'Characteristics&amp;Parameters'!$B$11*'Characteristics&amp;Parameters'!$B$12),""))</f>
        <v/>
      </c>
    </row>
    <row r="66" spans="1:10" x14ac:dyDescent="0.5">
      <c r="A66" s="7" t="str">
        <f>IF(A65&lt;'Characteristics&amp;Parameters'!$B$17,ConcentrationsCalculations!A65+1,IF(A65="DS Node","",IF(A65="","","DS Node")))</f>
        <v/>
      </c>
      <c r="B66" s="8" t="str">
        <f>IF(A66&lt;='Characteristics&amp;Parameters'!$B$17,'Characteristics&amp;Parameters'!$B$7,IF(ConcentrationsCalculations!A66="DS Node",'Characteristics&amp;Parameters'!$B$8,""))</f>
        <v/>
      </c>
      <c r="C66" s="8"/>
      <c r="E66" s="7" t="s">
        <v>25</v>
      </c>
      <c r="F66" s="8" t="s">
        <v>25</v>
      </c>
      <c r="I66" s="7" t="str">
        <f>IF(I65&lt;'Characteristics&amp;Parameters'!$B$17,ConcentrationsCalculations!I65+1,IF(I65="DS Node","",IF(I65="","","DS Node")))</f>
        <v/>
      </c>
      <c r="J66" s="13" t="str">
        <f>IF(I66="DS Node",'Characteristics&amp;Parameters'!$B$8,IF(I66&lt;='Characteristics&amp;Parameters'!$B$17,((1-'Characteristics&amp;Parameters'!$B$19)*ConcentrationsCalculations!F66+'Characteristics&amp;Parameters'!$B$19*ConcentrationsCalculations!F65-F66/86400*'Characteristics&amp;Parameters'!$B$11*'Characteristics&amp;Parameters'!$B$12),""))</f>
        <v/>
      </c>
    </row>
    <row r="67" spans="1:10" x14ac:dyDescent="0.5">
      <c r="A67" s="7" t="str">
        <f>IF(A66&lt;'Characteristics&amp;Parameters'!$B$17,ConcentrationsCalculations!A66+1,IF(A66="DS Node","",IF(A66="","","DS Node")))</f>
        <v/>
      </c>
      <c r="B67" s="8" t="str">
        <f>IF(A67&lt;='Characteristics&amp;Parameters'!$B$17,'Characteristics&amp;Parameters'!$B$7,IF(ConcentrationsCalculations!A67="DS Node",'Characteristics&amp;Parameters'!$B$8,""))</f>
        <v/>
      </c>
      <c r="C67" s="8"/>
      <c r="E67" s="7" t="s">
        <v>25</v>
      </c>
      <c r="F67" s="8" t="s">
        <v>25</v>
      </c>
      <c r="I67" s="7" t="str">
        <f>IF(I66&lt;'Characteristics&amp;Parameters'!$B$17,ConcentrationsCalculations!I66+1,IF(I66="DS Node","",IF(I66="","","DS Node")))</f>
        <v/>
      </c>
      <c r="J67" s="13" t="str">
        <f>IF(I67="DS Node",'Characteristics&amp;Parameters'!$B$8,IF(I67&lt;='Characteristics&amp;Parameters'!$B$17,((1-'Characteristics&amp;Parameters'!$B$19)*ConcentrationsCalculations!F67+'Characteristics&amp;Parameters'!$B$19*ConcentrationsCalculations!F66-F67/86400*'Characteristics&amp;Parameters'!$B$11*'Characteristics&amp;Parameters'!$B$12),""))</f>
        <v/>
      </c>
    </row>
    <row r="68" spans="1:10" x14ac:dyDescent="0.5">
      <c r="A68" s="7" t="str">
        <f>IF(A67&lt;'Characteristics&amp;Parameters'!$B$17,ConcentrationsCalculations!A67+1,IF(A67="DS Node","",IF(A67="","","DS Node")))</f>
        <v/>
      </c>
      <c r="B68" s="8" t="str">
        <f>IF(A68&lt;='Characteristics&amp;Parameters'!$B$17,'Characteristics&amp;Parameters'!$B$7,IF(ConcentrationsCalculations!A68="DS Node",'Characteristics&amp;Parameters'!$B$8,""))</f>
        <v/>
      </c>
      <c r="C68" s="8"/>
      <c r="E68" s="7" t="s">
        <v>25</v>
      </c>
      <c r="F68" s="8" t="s">
        <v>25</v>
      </c>
      <c r="I68" s="7" t="str">
        <f>IF(I67&lt;'Characteristics&amp;Parameters'!$B$17,ConcentrationsCalculations!I67+1,IF(I67="DS Node","",IF(I67="","","DS Node")))</f>
        <v/>
      </c>
      <c r="J68" s="13" t="str">
        <f>IF(I68="DS Node",'Characteristics&amp;Parameters'!$B$8,IF(I68&lt;='Characteristics&amp;Parameters'!$B$17,((1-'Characteristics&amp;Parameters'!$B$19)*ConcentrationsCalculations!F68+'Characteristics&amp;Parameters'!$B$19*ConcentrationsCalculations!F67-F68/86400*'Characteristics&amp;Parameters'!$B$11*'Characteristics&amp;Parameters'!$B$12),""))</f>
        <v/>
      </c>
    </row>
    <row r="69" spans="1:10" x14ac:dyDescent="0.5">
      <c r="A69" s="7" t="str">
        <f>IF(A68&lt;'Characteristics&amp;Parameters'!$B$17,ConcentrationsCalculations!A68+1,IF(A68="DS Node","",IF(A68="","","DS Node")))</f>
        <v/>
      </c>
      <c r="B69" s="8" t="str">
        <f>IF(A69&lt;='Characteristics&amp;Parameters'!$B$17,'Characteristics&amp;Parameters'!$B$7,IF(ConcentrationsCalculations!A69="DS Node",'Characteristics&amp;Parameters'!$B$8,""))</f>
        <v/>
      </c>
      <c r="C69" s="8"/>
      <c r="E69" s="7" t="s">
        <v>25</v>
      </c>
      <c r="F69" s="8" t="s">
        <v>25</v>
      </c>
      <c r="I69" s="7" t="str">
        <f>IF(I68&lt;'Characteristics&amp;Parameters'!$B$17,ConcentrationsCalculations!I68+1,IF(I68="DS Node","",IF(I68="","","DS Node")))</f>
        <v/>
      </c>
      <c r="J69" s="13" t="str">
        <f>IF(I69="DS Node",'Characteristics&amp;Parameters'!$B$8,IF(I69&lt;='Characteristics&amp;Parameters'!$B$17,((1-'Characteristics&amp;Parameters'!$B$19)*ConcentrationsCalculations!F69+'Characteristics&amp;Parameters'!$B$19*ConcentrationsCalculations!F68-F69/86400*'Characteristics&amp;Parameters'!$B$11*'Characteristics&amp;Parameters'!$B$12),""))</f>
        <v/>
      </c>
    </row>
    <row r="70" spans="1:10" x14ac:dyDescent="0.5">
      <c r="A70" s="7" t="str">
        <f>IF(A69&lt;'Characteristics&amp;Parameters'!$B$17,ConcentrationsCalculations!A69+1,IF(A69="DS Node","",IF(A69="","","DS Node")))</f>
        <v/>
      </c>
      <c r="B70" s="8" t="str">
        <f>IF(A70&lt;='Characteristics&amp;Parameters'!$B$17,'Characteristics&amp;Parameters'!$B$7,IF(ConcentrationsCalculations!A70="DS Node",'Characteristics&amp;Parameters'!$B$8,""))</f>
        <v/>
      </c>
      <c r="C70" s="8"/>
      <c r="E70" s="7" t="s">
        <v>25</v>
      </c>
      <c r="F70" s="8" t="s">
        <v>25</v>
      </c>
      <c r="I70" s="7" t="str">
        <f>IF(I69&lt;'Characteristics&amp;Parameters'!$B$17,ConcentrationsCalculations!I69+1,IF(I69="DS Node","",IF(I69="","","DS Node")))</f>
        <v/>
      </c>
      <c r="J70" s="13" t="str">
        <f>IF(I70="DS Node",'Characteristics&amp;Parameters'!$B$8,IF(I70&lt;='Characteristics&amp;Parameters'!$B$17,((1-'Characteristics&amp;Parameters'!$B$19)*ConcentrationsCalculations!F70+'Characteristics&amp;Parameters'!$B$19*ConcentrationsCalculations!F69-F70/86400*'Characteristics&amp;Parameters'!$B$11*'Characteristics&amp;Parameters'!$B$12),""))</f>
        <v/>
      </c>
    </row>
    <row r="71" spans="1:10" x14ac:dyDescent="0.5">
      <c r="A71" s="7" t="str">
        <f>IF(A70&lt;'Characteristics&amp;Parameters'!$B$17,ConcentrationsCalculations!A70+1,IF(A70="DS Node","",IF(A70="","","DS Node")))</f>
        <v/>
      </c>
      <c r="B71" s="8" t="str">
        <f>IF(A71&lt;='Characteristics&amp;Parameters'!$B$17,'Characteristics&amp;Parameters'!$B$7,IF(ConcentrationsCalculations!A71="DS Node",'Characteristics&amp;Parameters'!$B$8,""))</f>
        <v/>
      </c>
      <c r="C71" s="8"/>
      <c r="E71" s="7" t="s">
        <v>25</v>
      </c>
      <c r="F71" s="8" t="s">
        <v>25</v>
      </c>
      <c r="I71" s="7" t="str">
        <f>IF(I70&lt;'Characteristics&amp;Parameters'!$B$17,ConcentrationsCalculations!I70+1,IF(I70="DS Node","",IF(I70="","","DS Node")))</f>
        <v/>
      </c>
      <c r="J71" s="13" t="str">
        <f>IF(I71="DS Node",'Characteristics&amp;Parameters'!$B$8,IF(I71&lt;='Characteristics&amp;Parameters'!$B$17,((1-'Characteristics&amp;Parameters'!$B$19)*ConcentrationsCalculations!F71+'Characteristics&amp;Parameters'!$B$19*ConcentrationsCalculations!F70-F71/86400*'Characteristics&amp;Parameters'!$B$11*'Characteristics&amp;Parameters'!$B$12),""))</f>
        <v/>
      </c>
    </row>
    <row r="72" spans="1:10" x14ac:dyDescent="0.5">
      <c r="A72" s="7" t="str">
        <f>IF(A71&lt;'Characteristics&amp;Parameters'!$B$17,ConcentrationsCalculations!A71+1,IF(A71="DS Node","",IF(A71="","","DS Node")))</f>
        <v/>
      </c>
      <c r="B72" s="8" t="str">
        <f>IF(A72&lt;='Characteristics&amp;Parameters'!$B$17,'Characteristics&amp;Parameters'!$B$7,IF(ConcentrationsCalculations!A72="DS Node",'Characteristics&amp;Parameters'!$B$8,""))</f>
        <v/>
      </c>
      <c r="C72" s="8"/>
      <c r="E72" s="7" t="s">
        <v>25</v>
      </c>
      <c r="F72" s="8" t="s">
        <v>25</v>
      </c>
      <c r="I72" s="7" t="str">
        <f>IF(I71&lt;'Characteristics&amp;Parameters'!$B$17,ConcentrationsCalculations!I71+1,IF(I71="DS Node","",IF(I71="","","DS Node")))</f>
        <v/>
      </c>
      <c r="J72" s="13" t="str">
        <f>IF(I72="DS Node",'Characteristics&amp;Parameters'!$B$8,IF(I72&lt;='Characteristics&amp;Parameters'!$B$17,((1-'Characteristics&amp;Parameters'!$B$19)*ConcentrationsCalculations!F72+'Characteristics&amp;Parameters'!$B$19*ConcentrationsCalculations!F71-F72/86400*'Characteristics&amp;Parameters'!$B$11*'Characteristics&amp;Parameters'!$B$12),""))</f>
        <v/>
      </c>
    </row>
    <row r="73" spans="1:10" x14ac:dyDescent="0.5">
      <c r="A73" s="7" t="str">
        <f>IF(A72&lt;'Characteristics&amp;Parameters'!$B$17,ConcentrationsCalculations!A72+1,IF(A72="DS Node","",IF(A72="","","DS Node")))</f>
        <v/>
      </c>
      <c r="B73" s="8" t="str">
        <f>IF(A73&lt;='Characteristics&amp;Parameters'!$B$17,'Characteristics&amp;Parameters'!$B$7,IF(ConcentrationsCalculations!A73="DS Node",'Characteristics&amp;Parameters'!$B$8,""))</f>
        <v/>
      </c>
      <c r="C73" s="8"/>
      <c r="E73" s="7" t="s">
        <v>25</v>
      </c>
      <c r="F73" s="8" t="s">
        <v>25</v>
      </c>
      <c r="I73" s="7" t="str">
        <f>IF(I72&lt;'Characteristics&amp;Parameters'!$B$17,ConcentrationsCalculations!I72+1,IF(I72="DS Node","",IF(I72="","","DS Node")))</f>
        <v/>
      </c>
      <c r="J73" s="13" t="str">
        <f>IF(I73="DS Node",'Characteristics&amp;Parameters'!$B$8,IF(I73&lt;='Characteristics&amp;Parameters'!$B$17,((1-'Characteristics&amp;Parameters'!$B$19)*ConcentrationsCalculations!F73+'Characteristics&amp;Parameters'!$B$19*ConcentrationsCalculations!F72-F73/86400*'Characteristics&amp;Parameters'!$B$11*'Characteristics&amp;Parameters'!$B$12),""))</f>
        <v/>
      </c>
    </row>
    <row r="74" spans="1:10" x14ac:dyDescent="0.5">
      <c r="A74" s="7" t="str">
        <f>IF(A73&lt;'Characteristics&amp;Parameters'!$B$17,ConcentrationsCalculations!A73+1,IF(A73="DS Node","",IF(A73="","","DS Node")))</f>
        <v/>
      </c>
      <c r="B74" s="8" t="str">
        <f>IF(A74&lt;='Characteristics&amp;Parameters'!$B$17,'Characteristics&amp;Parameters'!$B$7,IF(ConcentrationsCalculations!A74="DS Node",'Characteristics&amp;Parameters'!$B$8,""))</f>
        <v/>
      </c>
      <c r="C74" s="8"/>
      <c r="E74" s="7" t="s">
        <v>25</v>
      </c>
      <c r="F74" s="8" t="s">
        <v>25</v>
      </c>
      <c r="I74" s="7" t="str">
        <f>IF(I73&lt;'Characteristics&amp;Parameters'!$B$17,ConcentrationsCalculations!I73+1,IF(I73="DS Node","",IF(I73="","","DS Node")))</f>
        <v/>
      </c>
      <c r="J74" s="13" t="str">
        <f>IF(I74="DS Node",'Characteristics&amp;Parameters'!$B$8,IF(I74&lt;='Characteristics&amp;Parameters'!$B$17,((1-'Characteristics&amp;Parameters'!$B$19)*ConcentrationsCalculations!F74+'Characteristics&amp;Parameters'!$B$19*ConcentrationsCalculations!F73-F74/86400*'Characteristics&amp;Parameters'!$B$11*'Characteristics&amp;Parameters'!$B$12),""))</f>
        <v/>
      </c>
    </row>
    <row r="75" spans="1:10" x14ac:dyDescent="0.5">
      <c r="A75" s="7" t="str">
        <f>IF(A74&lt;'Characteristics&amp;Parameters'!$B$17,ConcentrationsCalculations!A74+1,IF(A74="DS Node","",IF(A74="","","DS Node")))</f>
        <v/>
      </c>
      <c r="B75" s="8" t="str">
        <f>IF(A75&lt;='Characteristics&amp;Parameters'!$B$17,'Characteristics&amp;Parameters'!$B$7,IF(ConcentrationsCalculations!A75="DS Node",'Characteristics&amp;Parameters'!$B$8,""))</f>
        <v/>
      </c>
      <c r="C75" s="8"/>
      <c r="E75" s="7" t="s">
        <v>25</v>
      </c>
      <c r="F75" s="8" t="s">
        <v>25</v>
      </c>
      <c r="I75" s="7" t="str">
        <f>IF(I74&lt;'Characteristics&amp;Parameters'!$B$17,ConcentrationsCalculations!I74+1,IF(I74="DS Node","",IF(I74="","","DS Node")))</f>
        <v/>
      </c>
      <c r="J75" s="13" t="str">
        <f>IF(I75="DS Node",'Characteristics&amp;Parameters'!$B$8,IF(I75&lt;='Characteristics&amp;Parameters'!$B$17,((1-'Characteristics&amp;Parameters'!$B$19)*ConcentrationsCalculations!F75+'Characteristics&amp;Parameters'!$B$19*ConcentrationsCalculations!F74-F75/86400*'Characteristics&amp;Parameters'!$B$11*'Characteristics&amp;Parameters'!$B$12),""))</f>
        <v/>
      </c>
    </row>
    <row r="76" spans="1:10" x14ac:dyDescent="0.5">
      <c r="A76" s="7" t="str">
        <f>IF(A75&lt;'Characteristics&amp;Parameters'!$B$17,ConcentrationsCalculations!A75+1,IF(A75="DS Node","",IF(A75="","","DS Node")))</f>
        <v/>
      </c>
      <c r="B76" s="8" t="str">
        <f>IF(A76&lt;='Characteristics&amp;Parameters'!$B$17,'Characteristics&amp;Parameters'!$B$7,IF(ConcentrationsCalculations!A76="DS Node",'Characteristics&amp;Parameters'!$B$8,""))</f>
        <v/>
      </c>
      <c r="C76" s="8"/>
      <c r="E76" s="7" t="s">
        <v>25</v>
      </c>
      <c r="F76" s="8" t="s">
        <v>25</v>
      </c>
      <c r="I76" s="7" t="str">
        <f>IF(I75&lt;'Characteristics&amp;Parameters'!$B$17,ConcentrationsCalculations!I75+1,IF(I75="DS Node","",IF(I75="","","DS Node")))</f>
        <v/>
      </c>
      <c r="J76" s="13" t="str">
        <f>IF(I76="DS Node",'Characteristics&amp;Parameters'!$B$8,IF(I76&lt;='Characteristics&amp;Parameters'!$B$17,((1-'Characteristics&amp;Parameters'!$B$19)*ConcentrationsCalculations!F76+'Characteristics&amp;Parameters'!$B$19*ConcentrationsCalculations!F75-F76/86400*'Characteristics&amp;Parameters'!$B$11*'Characteristics&amp;Parameters'!$B$12),""))</f>
        <v/>
      </c>
    </row>
    <row r="77" spans="1:10" x14ac:dyDescent="0.5">
      <c r="A77" s="7" t="str">
        <f>IF(A76&lt;'Characteristics&amp;Parameters'!$B$17,ConcentrationsCalculations!A76+1,IF(A76="DS Node","",IF(A76="","","DS Node")))</f>
        <v/>
      </c>
      <c r="B77" s="8" t="str">
        <f>IF(A77&lt;='Characteristics&amp;Parameters'!$B$17,'Characteristics&amp;Parameters'!$B$7,IF(ConcentrationsCalculations!A77="DS Node",'Characteristics&amp;Parameters'!$B$8,""))</f>
        <v/>
      </c>
      <c r="C77" s="8"/>
      <c r="E77" s="7" t="s">
        <v>25</v>
      </c>
      <c r="F77" s="8" t="s">
        <v>25</v>
      </c>
      <c r="I77" s="7" t="str">
        <f>IF(I76&lt;'Characteristics&amp;Parameters'!$B$17,ConcentrationsCalculations!I76+1,IF(I76="DS Node","",IF(I76="","","DS Node")))</f>
        <v/>
      </c>
      <c r="J77" s="13" t="str">
        <f>IF(I77="DS Node",'Characteristics&amp;Parameters'!$B$8,IF(I77&lt;='Characteristics&amp;Parameters'!$B$17,((1-'Characteristics&amp;Parameters'!$B$19)*ConcentrationsCalculations!F77+'Characteristics&amp;Parameters'!$B$19*ConcentrationsCalculations!F76-F77/86400*'Characteristics&amp;Parameters'!$B$11*'Characteristics&amp;Parameters'!$B$12),""))</f>
        <v/>
      </c>
    </row>
    <row r="78" spans="1:10" x14ac:dyDescent="0.5">
      <c r="A78" s="7" t="str">
        <f>IF(A77&lt;'Characteristics&amp;Parameters'!$B$17,ConcentrationsCalculations!A77+1,IF(A77="DS Node","",IF(A77="","","DS Node")))</f>
        <v/>
      </c>
      <c r="B78" s="8" t="str">
        <f>IF(A78&lt;='Characteristics&amp;Parameters'!$B$17,'Characteristics&amp;Parameters'!$B$7,IF(ConcentrationsCalculations!A78="DS Node",'Characteristics&amp;Parameters'!$B$8,""))</f>
        <v/>
      </c>
      <c r="C78" s="8"/>
      <c r="E78" s="7" t="s">
        <v>25</v>
      </c>
      <c r="F78" s="8" t="s">
        <v>25</v>
      </c>
      <c r="I78" s="7" t="str">
        <f>IF(I77&lt;'Characteristics&amp;Parameters'!$B$17,ConcentrationsCalculations!I77+1,IF(I77="DS Node","",IF(I77="","","DS Node")))</f>
        <v/>
      </c>
      <c r="J78" s="13" t="str">
        <f>IF(I78="DS Node",'Characteristics&amp;Parameters'!$B$8,IF(I78&lt;='Characteristics&amp;Parameters'!$B$17,((1-'Characteristics&amp;Parameters'!$B$19)*ConcentrationsCalculations!F78+'Characteristics&amp;Parameters'!$B$19*ConcentrationsCalculations!F77-F78/86400*'Characteristics&amp;Parameters'!$B$11*'Characteristics&amp;Parameters'!$B$12),""))</f>
        <v/>
      </c>
    </row>
    <row r="79" spans="1:10" x14ac:dyDescent="0.5">
      <c r="A79" s="7" t="str">
        <f>IF(A78&lt;'Characteristics&amp;Parameters'!$B$17,ConcentrationsCalculations!A78+1,IF(A78="DS Node","",IF(A78="","","DS Node")))</f>
        <v/>
      </c>
      <c r="B79" s="8" t="str">
        <f>IF(A79&lt;='Characteristics&amp;Parameters'!$B$17,'Characteristics&amp;Parameters'!$B$7,IF(ConcentrationsCalculations!A79="DS Node",'Characteristics&amp;Parameters'!$B$8,""))</f>
        <v/>
      </c>
      <c r="C79" s="8"/>
      <c r="E79" s="7" t="s">
        <v>25</v>
      </c>
      <c r="F79" s="8" t="s">
        <v>25</v>
      </c>
      <c r="I79" s="7" t="str">
        <f>IF(I78&lt;'Characteristics&amp;Parameters'!$B$17,ConcentrationsCalculations!I78+1,IF(I78="DS Node","",IF(I78="","","DS Node")))</f>
        <v/>
      </c>
      <c r="J79" s="13" t="str">
        <f>IF(I79="DS Node",'Characteristics&amp;Parameters'!$B$8,IF(I79&lt;='Characteristics&amp;Parameters'!$B$17,((1-'Characteristics&amp;Parameters'!$B$19)*ConcentrationsCalculations!F79+'Characteristics&amp;Parameters'!$B$19*ConcentrationsCalculations!F78-F79/86400*'Characteristics&amp;Parameters'!$B$11*'Characteristics&amp;Parameters'!$B$12),""))</f>
        <v/>
      </c>
    </row>
    <row r="80" spans="1:10" x14ac:dyDescent="0.5">
      <c r="A80" s="7" t="str">
        <f>IF(A79&lt;'Characteristics&amp;Parameters'!$B$17,ConcentrationsCalculations!A79+1,IF(A79="DS Node","",IF(A79="","","DS Node")))</f>
        <v/>
      </c>
      <c r="B80" s="8" t="str">
        <f>IF(A80&lt;='Characteristics&amp;Parameters'!$B$17,'Characteristics&amp;Parameters'!$B$7,IF(ConcentrationsCalculations!A80="DS Node",'Characteristics&amp;Parameters'!$B$8,""))</f>
        <v/>
      </c>
      <c r="C80" s="8"/>
      <c r="E80" s="7" t="s">
        <v>25</v>
      </c>
      <c r="F80" s="8" t="s">
        <v>25</v>
      </c>
      <c r="I80" s="7" t="str">
        <f>IF(I79&lt;'Characteristics&amp;Parameters'!$B$17,ConcentrationsCalculations!I79+1,IF(I79="DS Node","",IF(I79="","","DS Node")))</f>
        <v/>
      </c>
      <c r="J80" s="13" t="str">
        <f>IF(I80="DS Node",'Characteristics&amp;Parameters'!$B$8,IF(I80&lt;='Characteristics&amp;Parameters'!$B$17,((1-'Characteristics&amp;Parameters'!$B$19)*ConcentrationsCalculations!F80+'Characteristics&amp;Parameters'!$B$19*ConcentrationsCalculations!F79-F80/86400*'Characteristics&amp;Parameters'!$B$11*'Characteristics&amp;Parameters'!$B$12),""))</f>
        <v/>
      </c>
    </row>
    <row r="81" spans="1:10" x14ac:dyDescent="0.5">
      <c r="A81" s="7" t="str">
        <f>IF(A80&lt;'Characteristics&amp;Parameters'!$B$17,ConcentrationsCalculations!A80+1,IF(A80="DS Node","",IF(A80="","","DS Node")))</f>
        <v/>
      </c>
      <c r="B81" s="8" t="str">
        <f>IF(A81&lt;='Characteristics&amp;Parameters'!$B$17,'Characteristics&amp;Parameters'!$B$7,IF(ConcentrationsCalculations!A81="DS Node",'Characteristics&amp;Parameters'!$B$8,""))</f>
        <v/>
      </c>
      <c r="C81" s="8"/>
      <c r="E81" s="7" t="s">
        <v>25</v>
      </c>
      <c r="F81" s="8" t="s">
        <v>25</v>
      </c>
      <c r="I81" s="7" t="str">
        <f>IF(I80&lt;'Characteristics&amp;Parameters'!$B$17,ConcentrationsCalculations!I80+1,IF(I80="DS Node","",IF(I80="","","DS Node")))</f>
        <v/>
      </c>
      <c r="J81" s="13" t="str">
        <f>IF(I81="DS Node",'Characteristics&amp;Parameters'!$B$8,IF(I81&lt;='Characteristics&amp;Parameters'!$B$17,((1-'Characteristics&amp;Parameters'!$B$19)*ConcentrationsCalculations!F81+'Characteristics&amp;Parameters'!$B$19*ConcentrationsCalculations!F80-F81/86400*'Characteristics&amp;Parameters'!$B$11*'Characteristics&amp;Parameters'!$B$12),""))</f>
        <v/>
      </c>
    </row>
    <row r="82" spans="1:10" x14ac:dyDescent="0.5">
      <c r="A82" s="7" t="str">
        <f>IF(A81&lt;'Characteristics&amp;Parameters'!$B$17,ConcentrationsCalculations!A81+1,IF(A81="DS Node","",IF(A81="","","DS Node")))</f>
        <v/>
      </c>
      <c r="B82" s="8" t="str">
        <f>IF(A82&lt;='Characteristics&amp;Parameters'!$B$17,'Characteristics&amp;Parameters'!$B$7,IF(ConcentrationsCalculations!A82="DS Node",'Characteristics&amp;Parameters'!$B$8,""))</f>
        <v/>
      </c>
      <c r="C82" s="8"/>
      <c r="E82" s="7" t="s">
        <v>25</v>
      </c>
      <c r="F82" s="8" t="s">
        <v>25</v>
      </c>
      <c r="I82" s="7" t="str">
        <f>IF(I81&lt;'Characteristics&amp;Parameters'!$B$17,ConcentrationsCalculations!I81+1,IF(I81="DS Node","",IF(I81="","","DS Node")))</f>
        <v/>
      </c>
      <c r="J82" s="13" t="str">
        <f>IF(I82="DS Node",'Characteristics&amp;Parameters'!$B$8,IF(I82&lt;='Characteristics&amp;Parameters'!$B$17,((1-'Characteristics&amp;Parameters'!$B$19)*ConcentrationsCalculations!F82+'Characteristics&amp;Parameters'!$B$19*ConcentrationsCalculations!F81-F82/86400*'Characteristics&amp;Parameters'!$B$11*'Characteristics&amp;Parameters'!$B$12),""))</f>
        <v/>
      </c>
    </row>
    <row r="83" spans="1:10" x14ac:dyDescent="0.5">
      <c r="A83" s="7" t="str">
        <f>IF(A82&lt;'Characteristics&amp;Parameters'!$B$17,ConcentrationsCalculations!A82+1,IF(A82="DS Node","",IF(A82="","","DS Node")))</f>
        <v/>
      </c>
      <c r="B83" s="8" t="str">
        <f>IF(A83&lt;='Characteristics&amp;Parameters'!$B$17,'Characteristics&amp;Parameters'!$B$7,IF(ConcentrationsCalculations!A83="DS Node",'Characteristics&amp;Parameters'!$B$8,""))</f>
        <v/>
      </c>
      <c r="C83" s="8"/>
      <c r="E83" s="7" t="s">
        <v>25</v>
      </c>
      <c r="F83" s="8" t="s">
        <v>25</v>
      </c>
      <c r="I83" s="7" t="str">
        <f>IF(I82&lt;'Characteristics&amp;Parameters'!$B$17,ConcentrationsCalculations!I82+1,IF(I82="DS Node","",IF(I82="","","DS Node")))</f>
        <v/>
      </c>
      <c r="J83" s="13" t="str">
        <f>IF(I83="DS Node",'Characteristics&amp;Parameters'!$B$8,IF(I83&lt;='Characteristics&amp;Parameters'!$B$17,((1-'Characteristics&amp;Parameters'!$B$19)*ConcentrationsCalculations!F83+'Characteristics&amp;Parameters'!$B$19*ConcentrationsCalculations!F82-F83/86400*'Characteristics&amp;Parameters'!$B$11*'Characteristics&amp;Parameters'!$B$12),""))</f>
        <v/>
      </c>
    </row>
    <row r="84" spans="1:10" x14ac:dyDescent="0.5">
      <c r="A84" s="7" t="str">
        <f>IF(A83&lt;'Characteristics&amp;Parameters'!$B$17,ConcentrationsCalculations!A83+1,IF(A83="DS Node","",IF(A83="","","DS Node")))</f>
        <v/>
      </c>
      <c r="B84" s="8" t="str">
        <f>IF(A84&lt;='Characteristics&amp;Parameters'!$B$17,'Characteristics&amp;Parameters'!$B$7,IF(ConcentrationsCalculations!A84="DS Node",'Characteristics&amp;Parameters'!$B$8,""))</f>
        <v/>
      </c>
      <c r="C84" s="8"/>
      <c r="E84" s="7" t="s">
        <v>25</v>
      </c>
      <c r="F84" s="8" t="s">
        <v>25</v>
      </c>
      <c r="I84" s="7" t="str">
        <f>IF(I83&lt;'Characteristics&amp;Parameters'!$B$17,ConcentrationsCalculations!I83+1,IF(I83="DS Node","",IF(I83="","","DS Node")))</f>
        <v/>
      </c>
      <c r="J84" s="13" t="str">
        <f>IF(I84="DS Node",'Characteristics&amp;Parameters'!$B$8,IF(I84&lt;='Characteristics&amp;Parameters'!$B$17,((1-'Characteristics&amp;Parameters'!$B$19)*ConcentrationsCalculations!F84+'Characteristics&amp;Parameters'!$B$19*ConcentrationsCalculations!F83-F84/86400*'Characteristics&amp;Parameters'!$B$11*'Characteristics&amp;Parameters'!$B$12),""))</f>
        <v/>
      </c>
    </row>
    <row r="85" spans="1:10" x14ac:dyDescent="0.5">
      <c r="A85" s="7" t="str">
        <f>IF(A84&lt;'Characteristics&amp;Parameters'!$B$17,ConcentrationsCalculations!A84+1,IF(A84="DS Node","",IF(A84="","","DS Node")))</f>
        <v/>
      </c>
      <c r="B85" s="8" t="str">
        <f>IF(A85&lt;='Characteristics&amp;Parameters'!$B$17,'Characteristics&amp;Parameters'!$B$7,IF(ConcentrationsCalculations!A85="DS Node",'Characteristics&amp;Parameters'!$B$8,""))</f>
        <v/>
      </c>
      <c r="C85" s="8"/>
      <c r="E85" s="7" t="s">
        <v>25</v>
      </c>
      <c r="F85" s="8" t="s">
        <v>25</v>
      </c>
      <c r="I85" s="7" t="str">
        <f>IF(I84&lt;'Characteristics&amp;Parameters'!$B$17,ConcentrationsCalculations!I84+1,IF(I84="DS Node","",IF(I84="","","DS Node")))</f>
        <v/>
      </c>
      <c r="J85" s="13" t="str">
        <f>IF(I85="DS Node",'Characteristics&amp;Parameters'!$B$8,IF(I85&lt;='Characteristics&amp;Parameters'!$B$17,((1-'Characteristics&amp;Parameters'!$B$19)*ConcentrationsCalculations!F85+'Characteristics&amp;Parameters'!$B$19*ConcentrationsCalculations!F84-F85/86400*'Characteristics&amp;Parameters'!$B$11*'Characteristics&amp;Parameters'!$B$12),""))</f>
        <v/>
      </c>
    </row>
    <row r="86" spans="1:10" x14ac:dyDescent="0.5">
      <c r="A86" s="7" t="str">
        <f>IF(A85&lt;'Characteristics&amp;Parameters'!$B$17,ConcentrationsCalculations!A85+1,IF(A85="DS Node","",IF(A85="","","DS Node")))</f>
        <v/>
      </c>
      <c r="B86" s="8" t="str">
        <f>IF(A86&lt;='Characteristics&amp;Parameters'!$B$17,'Characteristics&amp;Parameters'!$B$7,IF(ConcentrationsCalculations!A86="DS Node",'Characteristics&amp;Parameters'!$B$8,""))</f>
        <v/>
      </c>
      <c r="C86" s="8"/>
      <c r="E86" s="7" t="s">
        <v>25</v>
      </c>
      <c r="F86" s="8" t="s">
        <v>25</v>
      </c>
      <c r="I86" s="7" t="str">
        <f>IF(I85&lt;'Characteristics&amp;Parameters'!$B$17,ConcentrationsCalculations!I85+1,IF(I85="DS Node","",IF(I85="","","DS Node")))</f>
        <v/>
      </c>
      <c r="J86" s="13" t="str">
        <f>IF(I86="DS Node",'Characteristics&amp;Parameters'!$B$8,IF(I86&lt;='Characteristics&amp;Parameters'!$B$17,((1-'Characteristics&amp;Parameters'!$B$19)*ConcentrationsCalculations!F86+'Characteristics&amp;Parameters'!$B$19*ConcentrationsCalculations!F85-F86/86400*'Characteristics&amp;Parameters'!$B$11*'Characteristics&amp;Parameters'!$B$12),""))</f>
        <v/>
      </c>
    </row>
    <row r="87" spans="1:10" x14ac:dyDescent="0.5">
      <c r="A87" s="7" t="str">
        <f>IF(A86&lt;'Characteristics&amp;Parameters'!$B$17,ConcentrationsCalculations!A86+1,IF(A86="DS Node","",IF(A86="","","DS Node")))</f>
        <v/>
      </c>
      <c r="B87" s="8" t="str">
        <f>IF(A87&lt;='Characteristics&amp;Parameters'!$B$17,'Characteristics&amp;Parameters'!$B$7,IF(ConcentrationsCalculations!A87="DS Node",'Characteristics&amp;Parameters'!$B$8,""))</f>
        <v/>
      </c>
      <c r="C87" s="8"/>
      <c r="E87" s="7" t="s">
        <v>25</v>
      </c>
      <c r="F87" s="8" t="s">
        <v>25</v>
      </c>
      <c r="I87" s="7" t="str">
        <f>IF(I86&lt;'Characteristics&amp;Parameters'!$B$17,ConcentrationsCalculations!I86+1,IF(I86="DS Node","",IF(I86="","","DS Node")))</f>
        <v/>
      </c>
      <c r="J87" s="13" t="str">
        <f>IF(I87="DS Node",'Characteristics&amp;Parameters'!$B$8,IF(I87&lt;='Characteristics&amp;Parameters'!$B$17,((1-'Characteristics&amp;Parameters'!$B$19)*ConcentrationsCalculations!F87+'Characteristics&amp;Parameters'!$B$19*ConcentrationsCalculations!F86-F87/86400*'Characteristics&amp;Parameters'!$B$11*'Characteristics&amp;Parameters'!$B$12),""))</f>
        <v/>
      </c>
    </row>
    <row r="88" spans="1:10" x14ac:dyDescent="0.5">
      <c r="A88" s="7" t="str">
        <f>IF(A87&lt;'Characteristics&amp;Parameters'!$B$17,ConcentrationsCalculations!A87+1,IF(A87="DS Node","",IF(A87="","","DS Node")))</f>
        <v/>
      </c>
      <c r="B88" s="8" t="str">
        <f>IF(A88&lt;='Characteristics&amp;Parameters'!$B$17,'Characteristics&amp;Parameters'!$B$7,IF(ConcentrationsCalculations!A88="DS Node",'Characteristics&amp;Parameters'!$B$8,""))</f>
        <v/>
      </c>
      <c r="C88" s="8"/>
      <c r="E88" s="7" t="s">
        <v>25</v>
      </c>
      <c r="F88" s="8" t="s">
        <v>25</v>
      </c>
      <c r="I88" s="7" t="str">
        <f>IF(I87&lt;'Characteristics&amp;Parameters'!$B$17,ConcentrationsCalculations!I87+1,IF(I87="DS Node","",IF(I87="","","DS Node")))</f>
        <v/>
      </c>
      <c r="J88" s="13" t="str">
        <f>IF(I88="DS Node",'Characteristics&amp;Parameters'!$B$8,IF(I88&lt;='Characteristics&amp;Parameters'!$B$17,((1-'Characteristics&amp;Parameters'!$B$19)*ConcentrationsCalculations!F88+'Characteristics&amp;Parameters'!$B$19*ConcentrationsCalculations!F87-F88/86400*'Characteristics&amp;Parameters'!$B$11*'Characteristics&amp;Parameters'!$B$12),""))</f>
        <v/>
      </c>
    </row>
    <row r="89" spans="1:10" x14ac:dyDescent="0.5">
      <c r="A89" s="7" t="str">
        <f>IF(A88&lt;'Characteristics&amp;Parameters'!$B$17,ConcentrationsCalculations!A88+1,IF(A88="DS Node","",IF(A88="","","DS Node")))</f>
        <v/>
      </c>
      <c r="B89" s="8" t="str">
        <f>IF(A89&lt;='Characteristics&amp;Parameters'!$B$17,'Characteristics&amp;Parameters'!$B$7,IF(ConcentrationsCalculations!A89="DS Node",'Characteristics&amp;Parameters'!$B$8,""))</f>
        <v/>
      </c>
      <c r="C89" s="8"/>
      <c r="E89" s="7" t="s">
        <v>25</v>
      </c>
      <c r="F89" s="8" t="s">
        <v>25</v>
      </c>
      <c r="I89" s="7" t="str">
        <f>IF(I88&lt;'Characteristics&amp;Parameters'!$B$17,ConcentrationsCalculations!I88+1,IF(I88="DS Node","",IF(I88="","","DS Node")))</f>
        <v/>
      </c>
      <c r="J89" s="13" t="str">
        <f>IF(I89="DS Node",'Characteristics&amp;Parameters'!$B$8,IF(I89&lt;='Characteristics&amp;Parameters'!$B$17,((1-'Characteristics&amp;Parameters'!$B$19)*ConcentrationsCalculations!F89+'Characteristics&amp;Parameters'!$B$19*ConcentrationsCalculations!F88-F89/86400*'Characteristics&amp;Parameters'!$B$11*'Characteristics&amp;Parameters'!$B$12),""))</f>
        <v/>
      </c>
    </row>
    <row r="90" spans="1:10" x14ac:dyDescent="0.5">
      <c r="A90" s="7" t="str">
        <f>IF(A89&lt;'Characteristics&amp;Parameters'!$B$17,ConcentrationsCalculations!A89+1,IF(A89="DS Node","",IF(A89="","","DS Node")))</f>
        <v/>
      </c>
      <c r="B90" s="8" t="str">
        <f>IF(A90&lt;='Characteristics&amp;Parameters'!$B$17,'Characteristics&amp;Parameters'!$B$7,IF(ConcentrationsCalculations!A90="DS Node",'Characteristics&amp;Parameters'!$B$8,""))</f>
        <v/>
      </c>
      <c r="C90" s="8"/>
      <c r="E90" s="7" t="s">
        <v>25</v>
      </c>
      <c r="F90" s="8" t="s">
        <v>25</v>
      </c>
      <c r="I90" s="7" t="str">
        <f>IF(I89&lt;'Characteristics&amp;Parameters'!$B$17,ConcentrationsCalculations!I89+1,IF(I89="DS Node","",IF(I89="","","DS Node")))</f>
        <v/>
      </c>
      <c r="J90" s="13" t="str">
        <f>IF(I90="DS Node",'Characteristics&amp;Parameters'!$B$8,IF(I90&lt;='Characteristics&amp;Parameters'!$B$17,((1-'Characteristics&amp;Parameters'!$B$19)*ConcentrationsCalculations!F90+'Characteristics&amp;Parameters'!$B$19*ConcentrationsCalculations!F89-F90/86400*'Characteristics&amp;Parameters'!$B$11*'Characteristics&amp;Parameters'!$B$12),""))</f>
        <v/>
      </c>
    </row>
    <row r="91" spans="1:10" x14ac:dyDescent="0.5">
      <c r="A91" s="7" t="str">
        <f>IF(A90&lt;'Characteristics&amp;Parameters'!$B$17,ConcentrationsCalculations!A90+1,IF(A90="DS Node","",IF(A90="","","DS Node")))</f>
        <v/>
      </c>
      <c r="B91" s="8" t="str">
        <f>IF(A91&lt;='Characteristics&amp;Parameters'!$B$17,'Characteristics&amp;Parameters'!$B$7,IF(ConcentrationsCalculations!A91="DS Node",'Characteristics&amp;Parameters'!$B$8,""))</f>
        <v/>
      </c>
      <c r="C91" s="8"/>
      <c r="E91" s="7" t="s">
        <v>25</v>
      </c>
      <c r="F91" s="8" t="s">
        <v>25</v>
      </c>
      <c r="I91" s="7" t="str">
        <f>IF(I90&lt;'Characteristics&amp;Parameters'!$B$17,ConcentrationsCalculations!I90+1,IF(I90="DS Node","",IF(I90="","","DS Node")))</f>
        <v/>
      </c>
      <c r="J91" s="13" t="str">
        <f>IF(I91="DS Node",'Characteristics&amp;Parameters'!$B$8,IF(I91&lt;='Characteristics&amp;Parameters'!$B$17,((1-'Characteristics&amp;Parameters'!$B$19)*ConcentrationsCalculations!F91+'Characteristics&amp;Parameters'!$B$19*ConcentrationsCalculations!F90-F91/86400*'Characteristics&amp;Parameters'!$B$11*'Characteristics&amp;Parameters'!$B$12),""))</f>
        <v/>
      </c>
    </row>
    <row r="92" spans="1:10" x14ac:dyDescent="0.5">
      <c r="A92" s="7" t="str">
        <f>IF(A91&lt;'Characteristics&amp;Parameters'!$B$17,ConcentrationsCalculations!A91+1,IF(A91="DS Node","",IF(A91="","","DS Node")))</f>
        <v/>
      </c>
      <c r="B92" s="8" t="str">
        <f>IF(A92&lt;='Characteristics&amp;Parameters'!$B$17,'Characteristics&amp;Parameters'!$B$7,IF(ConcentrationsCalculations!A92="DS Node",'Characteristics&amp;Parameters'!$B$8,""))</f>
        <v/>
      </c>
      <c r="C92" s="8"/>
      <c r="E92" s="7" t="s">
        <v>25</v>
      </c>
      <c r="F92" s="8" t="s">
        <v>25</v>
      </c>
      <c r="I92" s="7" t="str">
        <f>IF(I91&lt;'Characteristics&amp;Parameters'!$B$17,ConcentrationsCalculations!I91+1,IF(I91="DS Node","",IF(I91="","","DS Node")))</f>
        <v/>
      </c>
      <c r="J92" s="13" t="str">
        <f>IF(I92="DS Node",'Characteristics&amp;Parameters'!$B$8,IF(I92&lt;='Characteristics&amp;Parameters'!$B$17,((1-'Characteristics&amp;Parameters'!$B$19)*ConcentrationsCalculations!F92+'Characteristics&amp;Parameters'!$B$19*ConcentrationsCalculations!F91-F92/86400*'Characteristics&amp;Parameters'!$B$11*'Characteristics&amp;Parameters'!$B$12),""))</f>
        <v/>
      </c>
    </row>
    <row r="93" spans="1:10" x14ac:dyDescent="0.5">
      <c r="A93" s="7" t="str">
        <f>IF(A92&lt;'Characteristics&amp;Parameters'!$B$17,ConcentrationsCalculations!A92+1,IF(A92="DS Node","",IF(A92="","","DS Node")))</f>
        <v/>
      </c>
      <c r="B93" s="8" t="str">
        <f>IF(A93&lt;='Characteristics&amp;Parameters'!$B$17,'Characteristics&amp;Parameters'!$B$7,IF(ConcentrationsCalculations!A93="DS Node",'Characteristics&amp;Parameters'!$B$8,""))</f>
        <v/>
      </c>
      <c r="C93" s="8"/>
      <c r="E93" s="7" t="s">
        <v>25</v>
      </c>
      <c r="F93" s="8" t="s">
        <v>25</v>
      </c>
      <c r="I93" s="7" t="str">
        <f>IF(I92&lt;'Characteristics&amp;Parameters'!$B$17,ConcentrationsCalculations!I92+1,IF(I92="DS Node","",IF(I92="","","DS Node")))</f>
        <v/>
      </c>
      <c r="J93" s="13" t="str">
        <f>IF(I93="DS Node",'Characteristics&amp;Parameters'!$B$8,IF(I93&lt;='Characteristics&amp;Parameters'!$B$17,((1-'Characteristics&amp;Parameters'!$B$19)*ConcentrationsCalculations!F93+'Characteristics&amp;Parameters'!$B$19*ConcentrationsCalculations!F92-F93/86400*'Characteristics&amp;Parameters'!$B$11*'Characteristics&amp;Parameters'!$B$12),""))</f>
        <v/>
      </c>
    </row>
    <row r="94" spans="1:10" x14ac:dyDescent="0.5">
      <c r="A94" s="7" t="str">
        <f>IF(A93&lt;'Characteristics&amp;Parameters'!$B$17,ConcentrationsCalculations!A93+1,IF(A93="DS Node","",IF(A93="","","DS Node")))</f>
        <v/>
      </c>
      <c r="B94" s="8" t="str">
        <f>IF(A94&lt;='Characteristics&amp;Parameters'!$B$17,'Characteristics&amp;Parameters'!$B$7,IF(ConcentrationsCalculations!A94="DS Node",'Characteristics&amp;Parameters'!$B$8,""))</f>
        <v/>
      </c>
      <c r="C94" s="8"/>
      <c r="E94" s="7" t="s">
        <v>25</v>
      </c>
      <c r="F94" s="8" t="s">
        <v>25</v>
      </c>
      <c r="I94" s="7" t="str">
        <f>IF(I93&lt;'Characteristics&amp;Parameters'!$B$17,ConcentrationsCalculations!I93+1,IF(I93="DS Node","",IF(I93="","","DS Node")))</f>
        <v/>
      </c>
      <c r="J94" s="13" t="str">
        <f>IF(I94="DS Node",'Characteristics&amp;Parameters'!$B$8,IF(I94&lt;='Characteristics&amp;Parameters'!$B$17,((1-'Characteristics&amp;Parameters'!$B$19)*ConcentrationsCalculations!F94+'Characteristics&amp;Parameters'!$B$19*ConcentrationsCalculations!F93-F94/86400*'Characteristics&amp;Parameters'!$B$11*'Characteristics&amp;Parameters'!$B$12),""))</f>
        <v/>
      </c>
    </row>
    <row r="95" spans="1:10" x14ac:dyDescent="0.5">
      <c r="A95" s="7" t="str">
        <f>IF(A94&lt;'Characteristics&amp;Parameters'!$B$17,ConcentrationsCalculations!A94+1,IF(A94="DS Node","",IF(A94="","","DS Node")))</f>
        <v/>
      </c>
      <c r="B95" s="8" t="str">
        <f>IF(A95&lt;='Characteristics&amp;Parameters'!$B$17,'Characteristics&amp;Parameters'!$B$7,IF(ConcentrationsCalculations!A95="DS Node",'Characteristics&amp;Parameters'!$B$8,""))</f>
        <v/>
      </c>
      <c r="C95" s="8"/>
      <c r="E95" s="7" t="s">
        <v>25</v>
      </c>
      <c r="F95" s="8" t="s">
        <v>25</v>
      </c>
      <c r="I95" s="7" t="str">
        <f>IF(I94&lt;'Characteristics&amp;Parameters'!$B$17,ConcentrationsCalculations!I94+1,IF(I94="DS Node","",IF(I94="","","DS Node")))</f>
        <v/>
      </c>
      <c r="J95" s="13" t="str">
        <f>IF(I95="DS Node",'Characteristics&amp;Parameters'!$B$8,IF(I95&lt;='Characteristics&amp;Parameters'!$B$17,((1-'Characteristics&amp;Parameters'!$B$19)*ConcentrationsCalculations!F95+'Characteristics&amp;Parameters'!$B$19*ConcentrationsCalculations!F94-F95/86400*'Characteristics&amp;Parameters'!$B$11*'Characteristics&amp;Parameters'!$B$12),""))</f>
        <v/>
      </c>
    </row>
    <row r="96" spans="1:10" x14ac:dyDescent="0.5">
      <c r="A96" s="7" t="str">
        <f>IF(A95&lt;'Characteristics&amp;Parameters'!$B$17,ConcentrationsCalculations!A95+1,IF(A95="DS Node","",IF(A95="","","DS Node")))</f>
        <v/>
      </c>
      <c r="B96" s="8" t="str">
        <f>IF(A96&lt;='Characteristics&amp;Parameters'!$B$17,'Characteristics&amp;Parameters'!$B$7,IF(ConcentrationsCalculations!A96="DS Node",'Characteristics&amp;Parameters'!$B$8,""))</f>
        <v/>
      </c>
      <c r="C96" s="8"/>
      <c r="E96" s="7" t="s">
        <v>25</v>
      </c>
      <c r="F96" s="8" t="s">
        <v>25</v>
      </c>
      <c r="I96" s="7" t="str">
        <f>IF(I95&lt;'Characteristics&amp;Parameters'!$B$17,ConcentrationsCalculations!I95+1,IF(I95="DS Node","",IF(I95="","","DS Node")))</f>
        <v/>
      </c>
      <c r="J96" s="13" t="str">
        <f>IF(I96="DS Node",'Characteristics&amp;Parameters'!$B$8,IF(I96&lt;='Characteristics&amp;Parameters'!$B$17,((1-'Characteristics&amp;Parameters'!$B$19)*ConcentrationsCalculations!F96+'Characteristics&amp;Parameters'!$B$19*ConcentrationsCalculations!F95-F96/86400*'Characteristics&amp;Parameters'!$B$11*'Characteristics&amp;Parameters'!$B$12),""))</f>
        <v/>
      </c>
    </row>
    <row r="97" spans="1:10" x14ac:dyDescent="0.5">
      <c r="A97" s="7" t="str">
        <f>IF(A96&lt;'Characteristics&amp;Parameters'!$B$17,ConcentrationsCalculations!A96+1,IF(A96="DS Node","",IF(A96="","","DS Node")))</f>
        <v/>
      </c>
      <c r="B97" s="8" t="str">
        <f>IF(A97&lt;='Characteristics&amp;Parameters'!$B$17,'Characteristics&amp;Parameters'!$B$7,IF(ConcentrationsCalculations!A97="DS Node",'Characteristics&amp;Parameters'!$B$8,""))</f>
        <v/>
      </c>
      <c r="C97" s="8"/>
      <c r="E97" s="7" t="s">
        <v>25</v>
      </c>
      <c r="F97" s="8" t="s">
        <v>25</v>
      </c>
      <c r="I97" s="7" t="str">
        <f>IF(I96&lt;'Characteristics&amp;Parameters'!$B$17,ConcentrationsCalculations!I96+1,IF(I96="DS Node","",IF(I96="","","DS Node")))</f>
        <v/>
      </c>
      <c r="J97" s="13" t="str">
        <f>IF(I97="DS Node",'Characteristics&amp;Parameters'!$B$8,IF(I97&lt;='Characteristics&amp;Parameters'!$B$17,((1-'Characteristics&amp;Parameters'!$B$19)*ConcentrationsCalculations!F97+'Characteristics&amp;Parameters'!$B$19*ConcentrationsCalculations!F96-F97/86400*'Characteristics&amp;Parameters'!$B$11*'Characteristics&amp;Parameters'!$B$12),""))</f>
        <v/>
      </c>
    </row>
    <row r="98" spans="1:10" x14ac:dyDescent="0.5">
      <c r="A98" s="7" t="str">
        <f>IF(A97&lt;'Characteristics&amp;Parameters'!$B$17,ConcentrationsCalculations!A97+1,IF(A97="DS Node","",IF(A97="","","DS Node")))</f>
        <v/>
      </c>
      <c r="B98" s="8" t="str">
        <f>IF(A98&lt;='Characteristics&amp;Parameters'!$B$17,'Characteristics&amp;Parameters'!$B$7,IF(ConcentrationsCalculations!A98="DS Node",'Characteristics&amp;Parameters'!$B$8,""))</f>
        <v/>
      </c>
      <c r="C98" s="8"/>
      <c r="E98" s="7" t="s">
        <v>25</v>
      </c>
      <c r="F98" s="8" t="s">
        <v>25</v>
      </c>
      <c r="I98" s="7" t="str">
        <f>IF(I97&lt;'Characteristics&amp;Parameters'!$B$17,ConcentrationsCalculations!I97+1,IF(I97="DS Node","",IF(I97="","","DS Node")))</f>
        <v/>
      </c>
      <c r="J98" s="13" t="str">
        <f>IF(I98="DS Node",'Characteristics&amp;Parameters'!$B$8,IF(I98&lt;='Characteristics&amp;Parameters'!$B$17,((1-'Characteristics&amp;Parameters'!$B$19)*ConcentrationsCalculations!F98+'Characteristics&amp;Parameters'!$B$19*ConcentrationsCalculations!F97-F98/86400*'Characteristics&amp;Parameters'!$B$11*'Characteristics&amp;Parameters'!$B$12),""))</f>
        <v/>
      </c>
    </row>
    <row r="99" spans="1:10" x14ac:dyDescent="0.5">
      <c r="A99" s="7" t="str">
        <f>IF(A98&lt;'Characteristics&amp;Parameters'!$B$17,ConcentrationsCalculations!A98+1,IF(A98="DS Node","",IF(A98="","","DS Node")))</f>
        <v/>
      </c>
      <c r="B99" s="8" t="str">
        <f>IF(A99&lt;='Characteristics&amp;Parameters'!$B$17,'Characteristics&amp;Parameters'!$B$7,IF(ConcentrationsCalculations!A99="DS Node",'Characteristics&amp;Parameters'!$B$8,""))</f>
        <v/>
      </c>
      <c r="C99" s="8"/>
      <c r="E99" s="7" t="s">
        <v>25</v>
      </c>
      <c r="F99" s="8" t="s">
        <v>25</v>
      </c>
      <c r="I99" s="7" t="str">
        <f>IF(I98&lt;'Characteristics&amp;Parameters'!$B$17,ConcentrationsCalculations!I98+1,IF(I98="DS Node","",IF(I98="","","DS Node")))</f>
        <v/>
      </c>
      <c r="J99" s="13" t="str">
        <f>IF(I99="DS Node",'Characteristics&amp;Parameters'!$B$8,IF(I99&lt;='Characteristics&amp;Parameters'!$B$17,((1-'Characteristics&amp;Parameters'!$B$19)*ConcentrationsCalculations!F99+'Characteristics&amp;Parameters'!$B$19*ConcentrationsCalculations!F98-F99/86400*'Characteristics&amp;Parameters'!$B$11*'Characteristics&amp;Parameters'!$B$12),""))</f>
        <v/>
      </c>
    </row>
    <row r="100" spans="1:10" x14ac:dyDescent="0.5">
      <c r="A100" s="7" t="str">
        <f>IF(A99&lt;'Characteristics&amp;Parameters'!$B$17,ConcentrationsCalculations!A99+1,IF(A99="DS Node","",IF(A99="","","DS Node")))</f>
        <v/>
      </c>
      <c r="B100" s="8" t="str">
        <f>IF(A100&lt;='Characteristics&amp;Parameters'!$B$17,'Characteristics&amp;Parameters'!$B$7,IF(ConcentrationsCalculations!A100="DS Node",'Characteristics&amp;Parameters'!$B$8,""))</f>
        <v/>
      </c>
      <c r="C100" s="8"/>
      <c r="E100" s="7" t="s">
        <v>25</v>
      </c>
      <c r="F100" s="8" t="s">
        <v>25</v>
      </c>
      <c r="I100" s="7" t="str">
        <f>IF(I99&lt;'Characteristics&amp;Parameters'!$B$17,ConcentrationsCalculations!I99+1,IF(I99="DS Node","",IF(I99="","","DS Node")))</f>
        <v/>
      </c>
      <c r="J100" s="13" t="str">
        <f>IF(I100="DS Node",'Characteristics&amp;Parameters'!$B$8,IF(I100&lt;='Characteristics&amp;Parameters'!$B$17,((1-'Characteristics&amp;Parameters'!$B$19)*ConcentrationsCalculations!F100+'Characteristics&amp;Parameters'!$B$19*ConcentrationsCalculations!F99-F100/86400*'Characteristics&amp;Parameters'!$B$11*'Characteristics&amp;Parameters'!$B$12),""))</f>
        <v/>
      </c>
    </row>
    <row r="101" spans="1:10" x14ac:dyDescent="0.5">
      <c r="A101" s="7" t="str">
        <f>IF(A100&lt;'Characteristics&amp;Parameters'!$B$17,ConcentrationsCalculations!A100+1,IF(A100="DS Node","",IF(A100="","","DS Node")))</f>
        <v/>
      </c>
      <c r="B101" s="8" t="str">
        <f>IF(A101&lt;='Characteristics&amp;Parameters'!$B$17,'Characteristics&amp;Parameters'!$B$7,IF(ConcentrationsCalculations!A101="DS Node",'Characteristics&amp;Parameters'!$B$8,""))</f>
        <v/>
      </c>
      <c r="C101" s="8"/>
      <c r="E101" s="7" t="s">
        <v>25</v>
      </c>
      <c r="F101" s="8" t="s">
        <v>25</v>
      </c>
      <c r="I101" s="7" t="str">
        <f>IF(I100&lt;'Characteristics&amp;Parameters'!$B$17,ConcentrationsCalculations!I100+1,IF(I100="DS Node","",IF(I100="","","DS Node")))</f>
        <v/>
      </c>
      <c r="J101" s="13" t="str">
        <f>IF(I101="DS Node",'Characteristics&amp;Parameters'!$B$8,IF(I101&lt;='Characteristics&amp;Parameters'!$B$17,((1-'Characteristics&amp;Parameters'!$B$19)*ConcentrationsCalculations!F101+'Characteristics&amp;Parameters'!$B$19*ConcentrationsCalculations!F100-F101/86400*'Characteristics&amp;Parameters'!$B$11*'Characteristics&amp;Parameters'!$B$12),""))</f>
        <v/>
      </c>
    </row>
    <row r="102" spans="1:10" x14ac:dyDescent="0.5">
      <c r="A102" s="7" t="str">
        <f>IF(A101&lt;'Characteristics&amp;Parameters'!$B$17,ConcentrationsCalculations!A101+1,IF(A101="DS Node","",IF(A101="","","DS Node")))</f>
        <v/>
      </c>
      <c r="B102" s="8" t="str">
        <f>IF(A102&lt;='Characteristics&amp;Parameters'!$B$17,'Characteristics&amp;Parameters'!$B$7,IF(ConcentrationsCalculations!A102="DS Node",'Characteristics&amp;Parameters'!$B$8,""))</f>
        <v/>
      </c>
      <c r="C102" s="8"/>
      <c r="E102" s="7" t="s">
        <v>25</v>
      </c>
      <c r="F102" s="8" t="s">
        <v>25</v>
      </c>
      <c r="I102" s="7" t="str">
        <f>IF(I101&lt;'Characteristics&amp;Parameters'!$B$17,ConcentrationsCalculations!I101+1,IF(I101="DS Node","",IF(I101="","","DS Node")))</f>
        <v/>
      </c>
      <c r="J102" s="13" t="str">
        <f>IF(I102="DS Node",'Characteristics&amp;Parameters'!$B$8,IF(I102&lt;='Characteristics&amp;Parameters'!$B$17,((1-'Characteristics&amp;Parameters'!$B$19)*ConcentrationsCalculations!F102+'Characteristics&amp;Parameters'!$B$19*ConcentrationsCalculations!F101-F102/86400*'Characteristics&amp;Parameters'!$B$11*'Characteristics&amp;Parameters'!$B$12),""))</f>
        <v/>
      </c>
    </row>
    <row r="103" spans="1:10" x14ac:dyDescent="0.5">
      <c r="A103" s="7" t="str">
        <f>IF(A102&lt;'Characteristics&amp;Parameters'!$B$17,ConcentrationsCalculations!A102+1,IF(A102="DS Node","",IF(A102="","","DS Node")))</f>
        <v/>
      </c>
      <c r="B103" s="8" t="str">
        <f>IF(A103&lt;='Characteristics&amp;Parameters'!$B$17,'Characteristics&amp;Parameters'!$B$7,IF(ConcentrationsCalculations!A103="DS Node",'Characteristics&amp;Parameters'!$B$8,""))</f>
        <v/>
      </c>
      <c r="C103" s="8"/>
      <c r="E103" s="7" t="s">
        <v>25</v>
      </c>
      <c r="F103" s="8" t="s">
        <v>25</v>
      </c>
      <c r="I103" s="7" t="str">
        <f>IF(I102&lt;'Characteristics&amp;Parameters'!$B$17,ConcentrationsCalculations!I102+1,IF(I102="DS Node","",IF(I102="","","DS Node")))</f>
        <v/>
      </c>
      <c r="J103" s="13" t="str">
        <f>IF(I103="DS Node",'Characteristics&amp;Parameters'!$B$8,IF(I103&lt;='Characteristics&amp;Parameters'!$B$17,((1-'Characteristics&amp;Parameters'!$B$19)*ConcentrationsCalculations!F103+'Characteristics&amp;Parameters'!$B$19*ConcentrationsCalculations!F102-F103/86400*'Characteristics&amp;Parameters'!$B$11*'Characteristics&amp;Parameters'!$B$12),""))</f>
        <v/>
      </c>
    </row>
    <row r="104" spans="1:10" x14ac:dyDescent="0.5">
      <c r="A104" s="7" t="str">
        <f>IF(A103&lt;'Characteristics&amp;Parameters'!$B$17,ConcentrationsCalculations!A103+1,IF(A103="DS Node","",IF(A103="","","DS Node")))</f>
        <v/>
      </c>
      <c r="B104" s="8" t="str">
        <f>IF(A104&lt;='Characteristics&amp;Parameters'!$B$17,'Characteristics&amp;Parameters'!$B$7,IF(ConcentrationsCalculations!A104="DS Node",'Characteristics&amp;Parameters'!$B$8,""))</f>
        <v/>
      </c>
      <c r="C104" s="8"/>
      <c r="E104" s="7" t="s">
        <v>25</v>
      </c>
      <c r="F104" s="8" t="s">
        <v>25</v>
      </c>
      <c r="I104" s="7" t="str">
        <f>IF(I103&lt;'Characteristics&amp;Parameters'!$B$17,ConcentrationsCalculations!I103+1,IF(I103="DS Node","",IF(I103="","","DS Node")))</f>
        <v/>
      </c>
      <c r="J104" s="13" t="str">
        <f>IF(I104="DS Node",'Characteristics&amp;Parameters'!$B$8,IF(I104&lt;='Characteristics&amp;Parameters'!$B$17,((1-'Characteristics&amp;Parameters'!$B$19)*ConcentrationsCalculations!F104+'Characteristics&amp;Parameters'!$B$19*ConcentrationsCalculations!F103-F104/86400*'Characteristics&amp;Parameters'!$B$11*'Characteristics&amp;Parameters'!$B$12),""))</f>
        <v/>
      </c>
    </row>
    <row r="105" spans="1:10" x14ac:dyDescent="0.5">
      <c r="A105" s="7" t="str">
        <f>IF(A104&lt;'Characteristics&amp;Parameters'!$B$17,ConcentrationsCalculations!A104+1,IF(A104="DS Node","",IF(A104="","","DS Node")))</f>
        <v/>
      </c>
      <c r="B105" s="8" t="str">
        <f>IF(A105&lt;='Characteristics&amp;Parameters'!$B$17,'Characteristics&amp;Parameters'!$B$7,IF(ConcentrationsCalculations!A105="DS Node",'Characteristics&amp;Parameters'!$B$8,""))</f>
        <v/>
      </c>
      <c r="C105" s="8"/>
      <c r="E105" s="7" t="s">
        <v>25</v>
      </c>
      <c r="F105" s="8" t="s">
        <v>25</v>
      </c>
      <c r="I105" s="7" t="str">
        <f>IF(I104&lt;'Characteristics&amp;Parameters'!$B$17,ConcentrationsCalculations!I104+1,IF(I104="DS Node","",IF(I104="","","DS Node")))</f>
        <v/>
      </c>
      <c r="J105" s="13" t="str">
        <f>IF(I105="DS Node",'Characteristics&amp;Parameters'!$B$8,IF(I105&lt;='Characteristics&amp;Parameters'!$B$17,((1-'Characteristics&amp;Parameters'!$B$19)*ConcentrationsCalculations!F105+'Characteristics&amp;Parameters'!$B$19*ConcentrationsCalculations!F104-F105/86400*'Characteristics&amp;Parameters'!$B$11*'Characteristics&amp;Parameters'!$B$12),""))</f>
        <v/>
      </c>
    </row>
    <row r="106" spans="1:10" x14ac:dyDescent="0.5">
      <c r="A106" s="7" t="str">
        <f>IF(A105&lt;'Characteristics&amp;Parameters'!$B$17,ConcentrationsCalculations!A105+1,IF(A105="DS Node","",IF(A105="","","DS Node")))</f>
        <v/>
      </c>
      <c r="B106" s="8" t="str">
        <f>IF(A106&lt;='Characteristics&amp;Parameters'!$B$17,'Characteristics&amp;Parameters'!$B$7,IF(ConcentrationsCalculations!A106="DS Node",'Characteristics&amp;Parameters'!$B$8,""))</f>
        <v/>
      </c>
      <c r="C106" s="8"/>
      <c r="E106" s="7" t="s">
        <v>25</v>
      </c>
      <c r="F106" s="8" t="s">
        <v>25</v>
      </c>
      <c r="I106" s="7" t="str">
        <f>IF(I105&lt;'Characteristics&amp;Parameters'!$B$17,ConcentrationsCalculations!I105+1,IF(I105="DS Node","",IF(I105="","","DS Node")))</f>
        <v/>
      </c>
      <c r="J106" s="13" t="str">
        <f>IF(I106="DS Node",'Characteristics&amp;Parameters'!$B$8,IF(I106&lt;='Characteristics&amp;Parameters'!$B$17,((1-'Characteristics&amp;Parameters'!$B$19)*ConcentrationsCalculations!F106+'Characteristics&amp;Parameters'!$B$19*ConcentrationsCalculations!F105-F106/86400*'Characteristics&amp;Parameters'!$B$11*'Characteristics&amp;Parameters'!$B$12),""))</f>
        <v/>
      </c>
    </row>
    <row r="107" spans="1:10" x14ac:dyDescent="0.5">
      <c r="A107" s="7" t="str">
        <f>IF(A106&lt;'Characteristics&amp;Parameters'!$B$17,ConcentrationsCalculations!A106+1,IF(A106="DS Node","",IF(A106="","","DS Node")))</f>
        <v/>
      </c>
      <c r="B107" s="8" t="str">
        <f>IF(A107&lt;='Characteristics&amp;Parameters'!$B$17,'Characteristics&amp;Parameters'!$B$7,IF(ConcentrationsCalculations!A107="DS Node",'Characteristics&amp;Parameters'!$B$8,""))</f>
        <v/>
      </c>
      <c r="C107" s="8"/>
      <c r="E107" s="7" t="s">
        <v>25</v>
      </c>
      <c r="F107" s="8" t="s">
        <v>25</v>
      </c>
      <c r="I107" s="7" t="str">
        <f>IF(I106&lt;'Characteristics&amp;Parameters'!$B$17,ConcentrationsCalculations!I106+1,IF(I106="DS Node","",IF(I106="","","DS Node")))</f>
        <v/>
      </c>
      <c r="J107" s="13" t="str">
        <f>IF(I107="DS Node",'Characteristics&amp;Parameters'!$B$8,IF(I107&lt;='Characteristics&amp;Parameters'!$B$17,((1-'Characteristics&amp;Parameters'!$B$19)*ConcentrationsCalculations!F107+'Characteristics&amp;Parameters'!$B$19*ConcentrationsCalculations!F106-F107/86400*'Characteristics&amp;Parameters'!$B$11*'Characteristics&amp;Parameters'!$B$12),""))</f>
        <v/>
      </c>
    </row>
    <row r="108" spans="1:10" x14ac:dyDescent="0.5">
      <c r="A108" s="7" t="str">
        <f>IF(A107&lt;'Characteristics&amp;Parameters'!$B$17,ConcentrationsCalculations!A107+1,IF(A107="DS Node","",IF(A107="","","DS Node")))</f>
        <v/>
      </c>
      <c r="B108" s="8" t="str">
        <f>IF(A108&lt;='Characteristics&amp;Parameters'!$B$17,'Characteristics&amp;Parameters'!$B$7,IF(ConcentrationsCalculations!A108="DS Node",'Characteristics&amp;Parameters'!$B$8,""))</f>
        <v/>
      </c>
      <c r="C108" s="8"/>
      <c r="E108" s="7" t="s">
        <v>25</v>
      </c>
      <c r="F108" s="8" t="s">
        <v>25</v>
      </c>
      <c r="I108" s="7" t="str">
        <f>IF(I107&lt;'Characteristics&amp;Parameters'!$B$17,ConcentrationsCalculations!I107+1,IF(I107="DS Node","",IF(I107="","","DS Node")))</f>
        <v/>
      </c>
      <c r="J108" s="13" t="str">
        <f>IF(I108="DS Node",'Characteristics&amp;Parameters'!$B$8,IF(I108&lt;='Characteristics&amp;Parameters'!$B$17,((1-'Characteristics&amp;Parameters'!$B$19)*ConcentrationsCalculations!F108+'Characteristics&amp;Parameters'!$B$19*ConcentrationsCalculations!F107-F108/86400*'Characteristics&amp;Parameters'!$B$11*'Characteristics&amp;Parameters'!$B$12),""))</f>
        <v/>
      </c>
    </row>
    <row r="109" spans="1:10" x14ac:dyDescent="0.5">
      <c r="A109" s="7" t="str">
        <f>IF(A108&lt;'Characteristics&amp;Parameters'!$B$17,ConcentrationsCalculations!A108+1,IF(A108="DS Node","",IF(A108="","","DS Node")))</f>
        <v/>
      </c>
      <c r="B109" s="8" t="str">
        <f>IF(A109&lt;='Characteristics&amp;Parameters'!$B$17,'Characteristics&amp;Parameters'!$B$7,IF(ConcentrationsCalculations!A109="DS Node",'Characteristics&amp;Parameters'!$B$8,""))</f>
        <v/>
      </c>
      <c r="C109" s="8"/>
      <c r="E109" s="7" t="s">
        <v>25</v>
      </c>
      <c r="F109" s="8" t="s">
        <v>25</v>
      </c>
      <c r="I109" s="7" t="str">
        <f>IF(I108&lt;'Characteristics&amp;Parameters'!$B$17,ConcentrationsCalculations!I108+1,IF(I108="DS Node","",IF(I108="","","DS Node")))</f>
        <v/>
      </c>
      <c r="J109" s="13" t="str">
        <f>IF(I109="DS Node",'Characteristics&amp;Parameters'!$B$8,IF(I109&lt;='Characteristics&amp;Parameters'!$B$17,((1-'Characteristics&amp;Parameters'!$B$19)*ConcentrationsCalculations!F109+'Characteristics&amp;Parameters'!$B$19*ConcentrationsCalculations!F108-F109/86400*'Characteristics&amp;Parameters'!$B$11*'Characteristics&amp;Parameters'!$B$12),""))</f>
        <v/>
      </c>
    </row>
    <row r="110" spans="1:10" x14ac:dyDescent="0.5">
      <c r="A110" s="7" t="str">
        <f>IF(A109&lt;'Characteristics&amp;Parameters'!$B$17,ConcentrationsCalculations!A109+1,IF(A109="DS Node","",IF(A109="","","DS Node")))</f>
        <v/>
      </c>
      <c r="B110" s="8" t="str">
        <f>IF(A110&lt;='Characteristics&amp;Parameters'!$B$17,'Characteristics&amp;Parameters'!$B$7,IF(ConcentrationsCalculations!A110="DS Node",'Characteristics&amp;Parameters'!$B$8,""))</f>
        <v/>
      </c>
      <c r="C110" s="8"/>
      <c r="E110" s="7" t="s">
        <v>25</v>
      </c>
      <c r="F110" s="8" t="s">
        <v>25</v>
      </c>
      <c r="I110" s="7" t="str">
        <f>IF(I109&lt;'Characteristics&amp;Parameters'!$B$17,ConcentrationsCalculations!I109+1,IF(I109="DS Node","",IF(I109="","","DS Node")))</f>
        <v/>
      </c>
      <c r="J110" s="13" t="str">
        <f>IF(I110="DS Node",'Characteristics&amp;Parameters'!$B$8,IF(I110&lt;='Characteristics&amp;Parameters'!$B$17,((1-'Characteristics&amp;Parameters'!$B$19)*ConcentrationsCalculations!F110+'Characteristics&amp;Parameters'!$B$19*ConcentrationsCalculations!F109-F110/86400*'Characteristics&amp;Parameters'!$B$11*'Characteristics&amp;Parameters'!$B$12),""))</f>
        <v/>
      </c>
    </row>
    <row r="111" spans="1:10" x14ac:dyDescent="0.5">
      <c r="A111" s="7" t="str">
        <f>IF(A110&lt;'Characteristics&amp;Parameters'!$B$17,ConcentrationsCalculations!A110+1,IF(A110="DS Node","",IF(A110="","","DS Node")))</f>
        <v/>
      </c>
      <c r="B111" s="8" t="str">
        <f>IF(A111&lt;='Characteristics&amp;Parameters'!$B$17,'Characteristics&amp;Parameters'!$B$7,IF(ConcentrationsCalculations!A111="DS Node",'Characteristics&amp;Parameters'!$B$8,""))</f>
        <v/>
      </c>
      <c r="C111" s="8"/>
      <c r="E111" s="7" t="s">
        <v>25</v>
      </c>
      <c r="F111" s="8" t="s">
        <v>25</v>
      </c>
      <c r="I111" s="7" t="str">
        <f>IF(I110&lt;'Characteristics&amp;Parameters'!$B$17,ConcentrationsCalculations!I110+1,IF(I110="DS Node","",IF(I110="","","DS Node")))</f>
        <v/>
      </c>
      <c r="J111" s="13" t="str">
        <f>IF(I111="DS Node",'Characteristics&amp;Parameters'!$B$8,IF(I111&lt;='Characteristics&amp;Parameters'!$B$17,((1-'Characteristics&amp;Parameters'!$B$19)*ConcentrationsCalculations!F111+'Characteristics&amp;Parameters'!$B$19*ConcentrationsCalculations!F110-F111/86400*'Characteristics&amp;Parameters'!$B$11*'Characteristics&amp;Parameters'!$B$12),""))</f>
        <v/>
      </c>
    </row>
    <row r="112" spans="1:10" x14ac:dyDescent="0.5">
      <c r="A112" s="7" t="str">
        <f>IF(A111&lt;'Characteristics&amp;Parameters'!$B$17,ConcentrationsCalculations!A111+1,IF(A111="DS Node","",IF(A111="","","DS Node")))</f>
        <v/>
      </c>
      <c r="B112" s="8" t="str">
        <f>IF(A112&lt;='Characteristics&amp;Parameters'!$B$17,'Characteristics&amp;Parameters'!$B$7,IF(ConcentrationsCalculations!A112="DS Node",'Characteristics&amp;Parameters'!$B$8,""))</f>
        <v/>
      </c>
      <c r="C112" s="8"/>
      <c r="E112" s="7" t="s">
        <v>25</v>
      </c>
      <c r="F112" s="8" t="s">
        <v>25</v>
      </c>
      <c r="I112" s="7" t="str">
        <f>IF(I111&lt;'Characteristics&amp;Parameters'!$B$17,ConcentrationsCalculations!I111+1,IF(I111="DS Node","",IF(I111="","","DS Node")))</f>
        <v/>
      </c>
      <c r="J112" s="13" t="str">
        <f>IF(I112="DS Node",'Characteristics&amp;Parameters'!$B$8,IF(I112&lt;='Characteristics&amp;Parameters'!$B$17,((1-'Characteristics&amp;Parameters'!$B$19)*ConcentrationsCalculations!F112+'Characteristics&amp;Parameters'!$B$19*ConcentrationsCalculations!F111-F112/86400*'Characteristics&amp;Parameters'!$B$11*'Characteristics&amp;Parameters'!$B$12),""))</f>
        <v/>
      </c>
    </row>
    <row r="113" spans="1:10" x14ac:dyDescent="0.5">
      <c r="A113" s="7" t="str">
        <f>IF(A112&lt;'Characteristics&amp;Parameters'!$B$17,ConcentrationsCalculations!A112+1,IF(A112="DS Node","",IF(A112="","","DS Node")))</f>
        <v/>
      </c>
      <c r="B113" s="8" t="str">
        <f>IF(A113&lt;='Characteristics&amp;Parameters'!$B$17,'Characteristics&amp;Parameters'!$B$7,IF(ConcentrationsCalculations!A113="DS Node",'Characteristics&amp;Parameters'!$B$8,""))</f>
        <v/>
      </c>
      <c r="C113" s="8"/>
      <c r="E113" s="7" t="s">
        <v>25</v>
      </c>
      <c r="F113" s="8" t="s">
        <v>25</v>
      </c>
      <c r="I113" s="7" t="str">
        <f>IF(I112&lt;'Characteristics&amp;Parameters'!$B$17,ConcentrationsCalculations!I112+1,IF(I112="DS Node","",IF(I112="","","DS Node")))</f>
        <v/>
      </c>
      <c r="J113" s="13" t="str">
        <f>IF(I113="DS Node",'Characteristics&amp;Parameters'!$B$8,IF(I113&lt;='Characteristics&amp;Parameters'!$B$17,((1-'Characteristics&amp;Parameters'!$B$19)*ConcentrationsCalculations!F113+'Characteristics&amp;Parameters'!$B$19*ConcentrationsCalculations!F112-F113/86400*'Characteristics&amp;Parameters'!$B$11*'Characteristics&amp;Parameters'!$B$12),""))</f>
        <v/>
      </c>
    </row>
    <row r="114" spans="1:10" x14ac:dyDescent="0.5">
      <c r="A114" s="7" t="str">
        <f>IF(A113&lt;'Characteristics&amp;Parameters'!$B$17,ConcentrationsCalculations!A113+1,IF(A113="DS Node","",IF(A113="","","DS Node")))</f>
        <v/>
      </c>
      <c r="B114" s="8" t="str">
        <f>IF(A114&lt;='Characteristics&amp;Parameters'!$B$17,'Characteristics&amp;Parameters'!$B$7,IF(ConcentrationsCalculations!A114="DS Node",'Characteristics&amp;Parameters'!$B$8,""))</f>
        <v/>
      </c>
      <c r="C114" s="8"/>
      <c r="E114" s="7" t="s">
        <v>25</v>
      </c>
      <c r="F114" s="8" t="s">
        <v>25</v>
      </c>
      <c r="I114" s="7" t="str">
        <f>IF(I113&lt;'Characteristics&amp;Parameters'!$B$17,ConcentrationsCalculations!I113+1,IF(I113="DS Node","",IF(I113="","","DS Node")))</f>
        <v/>
      </c>
      <c r="J114" s="13" t="str">
        <f>IF(I114="DS Node",'Characteristics&amp;Parameters'!$B$8,IF(I114&lt;='Characteristics&amp;Parameters'!$B$17,((1-'Characteristics&amp;Parameters'!$B$19)*ConcentrationsCalculations!F114+'Characteristics&amp;Parameters'!$B$19*ConcentrationsCalculations!F113-F114/86400*'Characteristics&amp;Parameters'!$B$11*'Characteristics&amp;Parameters'!$B$12),""))</f>
        <v/>
      </c>
    </row>
    <row r="115" spans="1:10" x14ac:dyDescent="0.5">
      <c r="A115" s="7" t="str">
        <f>IF(A114&lt;'Characteristics&amp;Parameters'!$B$17,ConcentrationsCalculations!A114+1,IF(A114="DS Node","",IF(A114="","","DS Node")))</f>
        <v/>
      </c>
      <c r="B115" s="8" t="str">
        <f>IF(A115&lt;='Characteristics&amp;Parameters'!$B$17,'Characteristics&amp;Parameters'!$B$7,IF(ConcentrationsCalculations!A115="DS Node",'Characteristics&amp;Parameters'!$B$8,""))</f>
        <v/>
      </c>
      <c r="C115" s="8"/>
      <c r="E115" s="7" t="s">
        <v>25</v>
      </c>
      <c r="F115" s="8" t="s">
        <v>25</v>
      </c>
      <c r="I115" s="7" t="str">
        <f>IF(I114&lt;'Characteristics&amp;Parameters'!$B$17,ConcentrationsCalculations!I114+1,IF(I114="DS Node","",IF(I114="","","DS Node")))</f>
        <v/>
      </c>
      <c r="J115" s="13" t="str">
        <f>IF(I115="DS Node",'Characteristics&amp;Parameters'!$B$8,IF(I115&lt;='Characteristics&amp;Parameters'!$B$17,((1-'Characteristics&amp;Parameters'!$B$19)*ConcentrationsCalculations!F115+'Characteristics&amp;Parameters'!$B$19*ConcentrationsCalculations!F114-F115/86400*'Characteristics&amp;Parameters'!$B$11*'Characteristics&amp;Parameters'!$B$12),""))</f>
        <v/>
      </c>
    </row>
    <row r="116" spans="1:10" x14ac:dyDescent="0.5">
      <c r="A116" s="7" t="str">
        <f>IF(A115&lt;'Characteristics&amp;Parameters'!$B$17,ConcentrationsCalculations!A115+1,IF(A115="DS Node","",IF(A115="","","DS Node")))</f>
        <v/>
      </c>
      <c r="B116" s="8" t="str">
        <f>IF(A116&lt;='Characteristics&amp;Parameters'!$B$17,'Characteristics&amp;Parameters'!$B$7,IF(ConcentrationsCalculations!A116="DS Node",'Characteristics&amp;Parameters'!$B$8,""))</f>
        <v/>
      </c>
      <c r="C116" s="8"/>
      <c r="E116" s="7" t="s">
        <v>25</v>
      </c>
      <c r="F116" s="8" t="s">
        <v>25</v>
      </c>
      <c r="I116" s="7" t="str">
        <f>IF(I115&lt;'Characteristics&amp;Parameters'!$B$17,ConcentrationsCalculations!I115+1,IF(I115="DS Node","",IF(I115="","","DS Node")))</f>
        <v/>
      </c>
      <c r="J116" s="13" t="str">
        <f>IF(I116="DS Node",'Characteristics&amp;Parameters'!$B$8,IF(I116&lt;='Characteristics&amp;Parameters'!$B$17,((1-'Characteristics&amp;Parameters'!$B$19)*ConcentrationsCalculations!F116+'Characteristics&amp;Parameters'!$B$19*ConcentrationsCalculations!F115-F116/86400*'Characteristics&amp;Parameters'!$B$11*'Characteristics&amp;Parameters'!$B$12),""))</f>
        <v/>
      </c>
    </row>
    <row r="117" spans="1:10" x14ac:dyDescent="0.5">
      <c r="A117" s="7" t="str">
        <f>IF(A116&lt;'Characteristics&amp;Parameters'!$B$17,ConcentrationsCalculations!A116+1,IF(A116="DS Node","",IF(A116="","","DS Node")))</f>
        <v/>
      </c>
      <c r="B117" s="8" t="str">
        <f>IF(A117&lt;='Characteristics&amp;Parameters'!$B$17,'Characteristics&amp;Parameters'!$B$7,IF(ConcentrationsCalculations!A117="DS Node",'Characteristics&amp;Parameters'!$B$8,""))</f>
        <v/>
      </c>
      <c r="C117" s="8"/>
      <c r="E117" s="7" t="s">
        <v>25</v>
      </c>
      <c r="F117" s="8" t="s">
        <v>25</v>
      </c>
      <c r="I117" s="7" t="str">
        <f>IF(I116&lt;'Characteristics&amp;Parameters'!$B$17,ConcentrationsCalculations!I116+1,IF(I116="DS Node","",IF(I116="","","DS Node")))</f>
        <v/>
      </c>
      <c r="J117" s="13" t="str">
        <f>IF(I117="DS Node",'Characteristics&amp;Parameters'!$B$8,IF(I117&lt;='Characteristics&amp;Parameters'!$B$17,((1-'Characteristics&amp;Parameters'!$B$19)*ConcentrationsCalculations!F117+'Characteristics&amp;Parameters'!$B$19*ConcentrationsCalculations!F116-F117/86400*'Characteristics&amp;Parameters'!$B$11*'Characteristics&amp;Parameters'!$B$12),""))</f>
        <v/>
      </c>
    </row>
    <row r="118" spans="1:10" x14ac:dyDescent="0.5">
      <c r="A118" s="7" t="str">
        <f>IF(A117&lt;'Characteristics&amp;Parameters'!$B$17,ConcentrationsCalculations!A117+1,IF(A117="DS Node","",IF(A117="","","DS Node")))</f>
        <v/>
      </c>
      <c r="B118" s="8" t="str">
        <f>IF(A118&lt;='Characteristics&amp;Parameters'!$B$17,'Characteristics&amp;Parameters'!$B$7,IF(ConcentrationsCalculations!A118="DS Node",'Characteristics&amp;Parameters'!$B$8,""))</f>
        <v/>
      </c>
      <c r="C118" s="8"/>
      <c r="E118" s="7" t="s">
        <v>25</v>
      </c>
      <c r="F118" s="8" t="s">
        <v>25</v>
      </c>
      <c r="I118" s="7" t="str">
        <f>IF(I117&lt;'Characteristics&amp;Parameters'!$B$17,ConcentrationsCalculations!I117+1,IF(I117="DS Node","",IF(I117="","","DS Node")))</f>
        <v/>
      </c>
      <c r="J118" s="13" t="str">
        <f>IF(I118="DS Node",'Characteristics&amp;Parameters'!$B$8,IF(I118&lt;='Characteristics&amp;Parameters'!$B$17,((1-'Characteristics&amp;Parameters'!$B$19)*ConcentrationsCalculations!F118+'Characteristics&amp;Parameters'!$B$19*ConcentrationsCalculations!F117-F118/86400*'Characteristics&amp;Parameters'!$B$11*'Characteristics&amp;Parameters'!$B$12),""))</f>
        <v/>
      </c>
    </row>
    <row r="119" spans="1:10" x14ac:dyDescent="0.5">
      <c r="A119" s="7" t="str">
        <f>IF(A118&lt;'Characteristics&amp;Parameters'!$B$17,ConcentrationsCalculations!A118+1,IF(A118="DS Node","",IF(A118="","","DS Node")))</f>
        <v/>
      </c>
      <c r="B119" s="8" t="str">
        <f>IF(A119&lt;='Characteristics&amp;Parameters'!$B$17,'Characteristics&amp;Parameters'!$B$7,IF(ConcentrationsCalculations!A119="DS Node",'Characteristics&amp;Parameters'!$B$8,""))</f>
        <v/>
      </c>
      <c r="C119" s="8"/>
      <c r="E119" s="7" t="s">
        <v>25</v>
      </c>
      <c r="F119" s="8" t="s">
        <v>25</v>
      </c>
      <c r="I119" s="7" t="str">
        <f>IF(I118&lt;'Characteristics&amp;Parameters'!$B$17,ConcentrationsCalculations!I118+1,IF(I118="DS Node","",IF(I118="","","DS Node")))</f>
        <v/>
      </c>
      <c r="J119" s="13" t="str">
        <f>IF(I119="DS Node",'Characteristics&amp;Parameters'!$B$8,IF(I119&lt;='Characteristics&amp;Parameters'!$B$17,((1-'Characteristics&amp;Parameters'!$B$19)*ConcentrationsCalculations!F119+'Characteristics&amp;Parameters'!$B$19*ConcentrationsCalculations!F118-F119/86400*'Characteristics&amp;Parameters'!$B$11*'Characteristics&amp;Parameters'!$B$12),""))</f>
        <v/>
      </c>
    </row>
    <row r="120" spans="1:10" x14ac:dyDescent="0.5">
      <c r="A120" s="7" t="str">
        <f>IF(A119&lt;'Characteristics&amp;Parameters'!$B$17,ConcentrationsCalculations!A119+1,IF(A119="DS Node","",IF(A119="","","DS Node")))</f>
        <v/>
      </c>
      <c r="B120" s="8" t="str">
        <f>IF(A120&lt;='Characteristics&amp;Parameters'!$B$17,'Characteristics&amp;Parameters'!$B$7,IF(ConcentrationsCalculations!A120="DS Node",'Characteristics&amp;Parameters'!$B$8,""))</f>
        <v/>
      </c>
      <c r="C120" s="8"/>
      <c r="E120" s="7" t="s">
        <v>25</v>
      </c>
      <c r="F120" s="8" t="s">
        <v>25</v>
      </c>
      <c r="I120" s="7" t="str">
        <f>IF(I119&lt;'Characteristics&amp;Parameters'!$B$17,ConcentrationsCalculations!I119+1,IF(I119="DS Node","",IF(I119="","","DS Node")))</f>
        <v/>
      </c>
      <c r="J120" s="13" t="str">
        <f>IF(I120="DS Node",'Characteristics&amp;Parameters'!$B$8,IF(I120&lt;='Characteristics&amp;Parameters'!$B$17,((1-'Characteristics&amp;Parameters'!$B$19)*ConcentrationsCalculations!F120+'Characteristics&amp;Parameters'!$B$19*ConcentrationsCalculations!F119-F120/86400*'Characteristics&amp;Parameters'!$B$11*'Characteristics&amp;Parameters'!$B$12),""))</f>
        <v/>
      </c>
    </row>
    <row r="121" spans="1:10" x14ac:dyDescent="0.5">
      <c r="A121" s="7" t="str">
        <f>IF(A120&lt;'Characteristics&amp;Parameters'!$B$17,ConcentrationsCalculations!A120+1,IF(A120="DS Node","",IF(A120="","","DS Node")))</f>
        <v/>
      </c>
      <c r="B121" s="8" t="str">
        <f>IF(A121&lt;='Characteristics&amp;Parameters'!$B$17,'Characteristics&amp;Parameters'!$B$7,IF(ConcentrationsCalculations!A121="DS Node",'Characteristics&amp;Parameters'!$B$8,""))</f>
        <v/>
      </c>
      <c r="C121" s="8"/>
      <c r="E121" s="7" t="s">
        <v>25</v>
      </c>
      <c r="F121" s="8" t="s">
        <v>25</v>
      </c>
      <c r="I121" s="7" t="str">
        <f>IF(I120&lt;'Characteristics&amp;Parameters'!$B$17,ConcentrationsCalculations!I120+1,IF(I120="DS Node","",IF(I120="","","DS Node")))</f>
        <v/>
      </c>
      <c r="J121" s="13" t="str">
        <f>IF(I121="DS Node",'Characteristics&amp;Parameters'!$B$8,IF(I121&lt;='Characteristics&amp;Parameters'!$B$17,((1-'Characteristics&amp;Parameters'!$B$19)*ConcentrationsCalculations!F121+'Characteristics&amp;Parameters'!$B$19*ConcentrationsCalculations!F120-F121/86400*'Characteristics&amp;Parameters'!$B$11*'Characteristics&amp;Parameters'!$B$12),""))</f>
        <v/>
      </c>
    </row>
    <row r="122" spans="1:10" x14ac:dyDescent="0.5">
      <c r="A122" s="7" t="str">
        <f>IF(A121&lt;'Characteristics&amp;Parameters'!$B$17,ConcentrationsCalculations!A121+1,IF(A121="DS Node","",IF(A121="","","DS Node")))</f>
        <v/>
      </c>
      <c r="B122" s="8" t="str">
        <f>IF(A122&lt;='Characteristics&amp;Parameters'!$B$17,'Characteristics&amp;Parameters'!$B$7,IF(ConcentrationsCalculations!A122="DS Node",'Characteristics&amp;Parameters'!$B$8,""))</f>
        <v/>
      </c>
      <c r="C122" s="8"/>
      <c r="E122" s="7" t="s">
        <v>25</v>
      </c>
      <c r="F122" s="8" t="s">
        <v>25</v>
      </c>
      <c r="I122" s="7" t="str">
        <f>IF(I121&lt;'Characteristics&amp;Parameters'!$B$17,ConcentrationsCalculations!I121+1,IF(I121="DS Node","",IF(I121="","","DS Node")))</f>
        <v/>
      </c>
      <c r="J122" s="13" t="str">
        <f>IF(I122="DS Node",'Characteristics&amp;Parameters'!$B$8,IF(I122&lt;='Characteristics&amp;Parameters'!$B$17,((1-'Characteristics&amp;Parameters'!$B$19)*ConcentrationsCalculations!F122+'Characteristics&amp;Parameters'!$B$19*ConcentrationsCalculations!F121-F122/86400*'Characteristics&amp;Parameters'!$B$11*'Characteristics&amp;Parameters'!$B$12),""))</f>
        <v/>
      </c>
    </row>
    <row r="123" spans="1:10" x14ac:dyDescent="0.5">
      <c r="A123" s="7" t="str">
        <f>IF(A122&lt;'Characteristics&amp;Parameters'!$B$17,ConcentrationsCalculations!A122+1,IF(A122="DS Node","",IF(A122="","","DS Node")))</f>
        <v/>
      </c>
      <c r="B123" s="8" t="str">
        <f>IF(A123&lt;='Characteristics&amp;Parameters'!$B$17,'Characteristics&amp;Parameters'!$B$7,IF(ConcentrationsCalculations!A123="DS Node",'Characteristics&amp;Parameters'!$B$8,""))</f>
        <v/>
      </c>
      <c r="C123" s="8"/>
      <c r="E123" s="7" t="s">
        <v>25</v>
      </c>
      <c r="F123" s="8" t="s">
        <v>25</v>
      </c>
      <c r="I123" s="7" t="str">
        <f>IF(I122&lt;'Characteristics&amp;Parameters'!$B$17,ConcentrationsCalculations!I122+1,IF(I122="DS Node","",IF(I122="","","DS Node")))</f>
        <v/>
      </c>
      <c r="J123" s="13" t="str">
        <f>IF(I123="DS Node",'Characteristics&amp;Parameters'!$B$8,IF(I123&lt;='Characteristics&amp;Parameters'!$B$17,((1-'Characteristics&amp;Parameters'!$B$19)*ConcentrationsCalculations!F123+'Characteristics&amp;Parameters'!$B$19*ConcentrationsCalculations!F122-F123/86400*'Characteristics&amp;Parameters'!$B$11*'Characteristics&amp;Parameters'!$B$12),""))</f>
        <v/>
      </c>
    </row>
    <row r="124" spans="1:10" x14ac:dyDescent="0.5">
      <c r="A124" s="7" t="str">
        <f>IF(A123&lt;'Characteristics&amp;Parameters'!$B$17,ConcentrationsCalculations!A123+1,IF(A123="DS Node","",IF(A123="","","DS Node")))</f>
        <v/>
      </c>
      <c r="B124" s="8" t="str">
        <f>IF(A124&lt;='Characteristics&amp;Parameters'!$B$17,'Characteristics&amp;Parameters'!$B$7,IF(ConcentrationsCalculations!A124="DS Node",'Characteristics&amp;Parameters'!$B$8,""))</f>
        <v/>
      </c>
      <c r="C124" s="8"/>
      <c r="E124" s="7" t="s">
        <v>25</v>
      </c>
      <c r="F124" s="8" t="s">
        <v>25</v>
      </c>
      <c r="I124" s="7" t="str">
        <f>IF(I123&lt;'Characteristics&amp;Parameters'!$B$17,ConcentrationsCalculations!I123+1,IF(I123="DS Node","",IF(I123="","","DS Node")))</f>
        <v/>
      </c>
      <c r="J124" s="13" t="str">
        <f>IF(I124="DS Node",'Characteristics&amp;Parameters'!$B$8,IF(I124&lt;='Characteristics&amp;Parameters'!$B$17,((1-'Characteristics&amp;Parameters'!$B$19)*ConcentrationsCalculations!F124+'Characteristics&amp;Parameters'!$B$19*ConcentrationsCalculations!F123-F124/86400*'Characteristics&amp;Parameters'!$B$11*'Characteristics&amp;Parameters'!$B$12),""))</f>
        <v/>
      </c>
    </row>
    <row r="125" spans="1:10" x14ac:dyDescent="0.5">
      <c r="A125" s="7" t="str">
        <f>IF(A124&lt;'Characteristics&amp;Parameters'!$B$17,ConcentrationsCalculations!A124+1,IF(A124="DS Node","",IF(A124="","","DS Node")))</f>
        <v/>
      </c>
      <c r="B125" s="8" t="str">
        <f>IF(A125&lt;='Characteristics&amp;Parameters'!$B$17,'Characteristics&amp;Parameters'!$B$7,IF(ConcentrationsCalculations!A125="DS Node",'Characteristics&amp;Parameters'!$B$8,""))</f>
        <v/>
      </c>
      <c r="C125" s="8"/>
      <c r="E125" s="7" t="s">
        <v>25</v>
      </c>
      <c r="F125" s="8" t="s">
        <v>25</v>
      </c>
      <c r="I125" s="7" t="str">
        <f>IF(I124&lt;'Characteristics&amp;Parameters'!$B$17,ConcentrationsCalculations!I124+1,IF(I124="DS Node","",IF(I124="","","DS Node")))</f>
        <v/>
      </c>
      <c r="J125" s="13" t="str">
        <f>IF(I125="DS Node",'Characteristics&amp;Parameters'!$B$8,IF(I125&lt;='Characteristics&amp;Parameters'!$B$17,((1-'Characteristics&amp;Parameters'!$B$19)*ConcentrationsCalculations!F125+'Characteristics&amp;Parameters'!$B$19*ConcentrationsCalculations!F124-F125/86400*'Characteristics&amp;Parameters'!$B$11*'Characteristics&amp;Parameters'!$B$12),""))</f>
        <v/>
      </c>
    </row>
    <row r="126" spans="1:10" x14ac:dyDescent="0.5">
      <c r="A126" s="7" t="str">
        <f>IF(A125&lt;'Characteristics&amp;Parameters'!$B$17,ConcentrationsCalculations!A125+1,IF(A125="DS Node","",IF(A125="","","DS Node")))</f>
        <v/>
      </c>
      <c r="B126" s="8" t="str">
        <f>IF(A126&lt;='Characteristics&amp;Parameters'!$B$17,'Characteristics&amp;Parameters'!$B$7,IF(ConcentrationsCalculations!A126="DS Node",'Characteristics&amp;Parameters'!$B$8,""))</f>
        <v/>
      </c>
      <c r="C126" s="8"/>
      <c r="E126" s="7" t="s">
        <v>25</v>
      </c>
      <c r="F126" s="8" t="s">
        <v>25</v>
      </c>
      <c r="I126" s="7" t="str">
        <f>IF(I125&lt;'Characteristics&amp;Parameters'!$B$17,ConcentrationsCalculations!I125+1,IF(I125="DS Node","",IF(I125="","","DS Node")))</f>
        <v/>
      </c>
      <c r="J126" s="13" t="str">
        <f>IF(I126="DS Node",'Characteristics&amp;Parameters'!$B$8,IF(I126&lt;='Characteristics&amp;Parameters'!$B$17,((1-'Characteristics&amp;Parameters'!$B$19)*ConcentrationsCalculations!F126+'Characteristics&amp;Parameters'!$B$19*ConcentrationsCalculations!F125-F126/86400*'Characteristics&amp;Parameters'!$B$11*'Characteristics&amp;Parameters'!$B$12),""))</f>
        <v/>
      </c>
    </row>
    <row r="127" spans="1:10" x14ac:dyDescent="0.5">
      <c r="A127" s="7" t="str">
        <f>IF(A126&lt;'Characteristics&amp;Parameters'!$B$17,ConcentrationsCalculations!A126+1,IF(A126="DS Node","",IF(A126="","","DS Node")))</f>
        <v/>
      </c>
      <c r="B127" s="8" t="str">
        <f>IF(A127&lt;='Characteristics&amp;Parameters'!$B$17,'Characteristics&amp;Parameters'!$B$7,IF(ConcentrationsCalculations!A127="DS Node",'Characteristics&amp;Parameters'!$B$8,""))</f>
        <v/>
      </c>
      <c r="C127" s="8"/>
      <c r="E127" s="7" t="s">
        <v>25</v>
      </c>
      <c r="F127" s="8" t="s">
        <v>25</v>
      </c>
      <c r="I127" s="7" t="str">
        <f>IF(I126&lt;'Characteristics&amp;Parameters'!$B$17,ConcentrationsCalculations!I126+1,IF(I126="DS Node","",IF(I126="","","DS Node")))</f>
        <v/>
      </c>
      <c r="J127" s="13" t="str">
        <f>IF(I127="DS Node",'Characteristics&amp;Parameters'!$B$8,IF(I127&lt;='Characteristics&amp;Parameters'!$B$17,((1-'Characteristics&amp;Parameters'!$B$19)*ConcentrationsCalculations!F127+'Characteristics&amp;Parameters'!$B$19*ConcentrationsCalculations!F126-F127/86400*'Characteristics&amp;Parameters'!$B$11*'Characteristics&amp;Parameters'!$B$12),""))</f>
        <v/>
      </c>
    </row>
    <row r="128" spans="1:10" x14ac:dyDescent="0.5">
      <c r="A128" s="7" t="str">
        <f>IF(A127&lt;'Characteristics&amp;Parameters'!$B$17,ConcentrationsCalculations!A127+1,IF(A127="DS Node","",IF(A127="","","DS Node")))</f>
        <v/>
      </c>
      <c r="B128" s="8" t="str">
        <f>IF(A128&lt;='Characteristics&amp;Parameters'!$B$17,'Characteristics&amp;Parameters'!$B$7,IF(ConcentrationsCalculations!A128="DS Node",'Characteristics&amp;Parameters'!$B$8,""))</f>
        <v/>
      </c>
      <c r="C128" s="8"/>
      <c r="E128" s="7" t="s">
        <v>25</v>
      </c>
      <c r="F128" s="8" t="s">
        <v>25</v>
      </c>
      <c r="I128" s="7" t="str">
        <f>IF(I127&lt;'Characteristics&amp;Parameters'!$B$17,ConcentrationsCalculations!I127+1,IF(I127="DS Node","",IF(I127="","","DS Node")))</f>
        <v/>
      </c>
      <c r="J128" s="13" t="str">
        <f>IF(I128="DS Node",'Characteristics&amp;Parameters'!$B$8,IF(I128&lt;='Characteristics&amp;Parameters'!$B$17,((1-'Characteristics&amp;Parameters'!$B$19)*ConcentrationsCalculations!F128+'Characteristics&amp;Parameters'!$B$19*ConcentrationsCalculations!F127-F128/86400*'Characteristics&amp;Parameters'!$B$11*'Characteristics&amp;Parameters'!$B$12),""))</f>
        <v/>
      </c>
    </row>
    <row r="129" spans="1:10" x14ac:dyDescent="0.5">
      <c r="A129" s="7" t="str">
        <f>IF(A128&lt;'Characteristics&amp;Parameters'!$B$17,ConcentrationsCalculations!A128+1,IF(A128="DS Node","",IF(A128="","","DS Node")))</f>
        <v/>
      </c>
      <c r="B129" s="8" t="str">
        <f>IF(A129&lt;='Characteristics&amp;Parameters'!$B$17,'Characteristics&amp;Parameters'!$B$7,IF(ConcentrationsCalculations!A129="DS Node",'Characteristics&amp;Parameters'!$B$8,""))</f>
        <v/>
      </c>
      <c r="C129" s="8"/>
      <c r="E129" s="7" t="s">
        <v>25</v>
      </c>
      <c r="F129" s="8" t="s">
        <v>25</v>
      </c>
      <c r="I129" s="7" t="str">
        <f>IF(I128&lt;'Characteristics&amp;Parameters'!$B$17,ConcentrationsCalculations!I128+1,IF(I128="DS Node","",IF(I128="","","DS Node")))</f>
        <v/>
      </c>
      <c r="J129" s="13" t="str">
        <f>IF(I129="DS Node",'Characteristics&amp;Parameters'!$B$8,IF(I129&lt;='Characteristics&amp;Parameters'!$B$17,((1-'Characteristics&amp;Parameters'!$B$19)*ConcentrationsCalculations!F129+'Characteristics&amp;Parameters'!$B$19*ConcentrationsCalculations!F128-F129/86400*'Characteristics&amp;Parameters'!$B$11*'Characteristics&amp;Parameters'!$B$12),""))</f>
        <v/>
      </c>
    </row>
    <row r="130" spans="1:10" x14ac:dyDescent="0.5">
      <c r="A130" s="7" t="str">
        <f>IF(A129&lt;'Characteristics&amp;Parameters'!$B$17,ConcentrationsCalculations!A129+1,IF(A129="DS Node","",IF(A129="","","DS Node")))</f>
        <v/>
      </c>
      <c r="B130" s="8" t="str">
        <f>IF(A130&lt;='Characteristics&amp;Parameters'!$B$17,'Characteristics&amp;Parameters'!$B$7,IF(ConcentrationsCalculations!A130="DS Node",'Characteristics&amp;Parameters'!$B$8,""))</f>
        <v/>
      </c>
      <c r="C130" s="8"/>
      <c r="E130" s="7" t="s">
        <v>25</v>
      </c>
      <c r="F130" s="8" t="s">
        <v>25</v>
      </c>
      <c r="I130" s="7" t="str">
        <f>IF(I129&lt;'Characteristics&amp;Parameters'!$B$17,ConcentrationsCalculations!I129+1,IF(I129="DS Node","",IF(I129="","","DS Node")))</f>
        <v/>
      </c>
      <c r="J130" s="13" t="str">
        <f>IF(I130="DS Node",'Characteristics&amp;Parameters'!$B$8,IF(I130&lt;='Characteristics&amp;Parameters'!$B$17,((1-'Characteristics&amp;Parameters'!$B$19)*ConcentrationsCalculations!F130+'Characteristics&amp;Parameters'!$B$19*ConcentrationsCalculations!F129-F130/86400*'Characteristics&amp;Parameters'!$B$11*'Characteristics&amp;Parameters'!$B$12),""))</f>
        <v/>
      </c>
    </row>
    <row r="131" spans="1:10" x14ac:dyDescent="0.5">
      <c r="A131" s="7" t="str">
        <f>IF(A130&lt;'Characteristics&amp;Parameters'!$B$17,ConcentrationsCalculations!A130+1,IF(A130="DS Node","",IF(A130="","","DS Node")))</f>
        <v/>
      </c>
      <c r="B131" s="8" t="str">
        <f>IF(A131&lt;='Characteristics&amp;Parameters'!$B$17,'Characteristics&amp;Parameters'!$B$7,IF(ConcentrationsCalculations!A131="DS Node",'Characteristics&amp;Parameters'!$B$8,""))</f>
        <v/>
      </c>
      <c r="C131" s="8"/>
      <c r="E131" s="7" t="s">
        <v>25</v>
      </c>
      <c r="F131" s="8" t="s">
        <v>25</v>
      </c>
      <c r="I131" s="7" t="str">
        <f>IF(I130&lt;'Characteristics&amp;Parameters'!$B$17,ConcentrationsCalculations!I130+1,IF(I130="DS Node","",IF(I130="","","DS Node")))</f>
        <v/>
      </c>
      <c r="J131" s="13" t="str">
        <f>IF(I131="DS Node",'Characteristics&amp;Parameters'!$B$8,IF(I131&lt;='Characteristics&amp;Parameters'!$B$17,((1-'Characteristics&amp;Parameters'!$B$19)*ConcentrationsCalculations!F131+'Characteristics&amp;Parameters'!$B$19*ConcentrationsCalculations!F130-F131/86400*'Characteristics&amp;Parameters'!$B$11*'Characteristics&amp;Parameters'!$B$12),""))</f>
        <v/>
      </c>
    </row>
    <row r="132" spans="1:10" x14ac:dyDescent="0.5">
      <c r="A132" s="7" t="str">
        <f>IF(A131&lt;'Characteristics&amp;Parameters'!$B$17,ConcentrationsCalculations!A131+1,IF(A131="DS Node","",IF(A131="","","DS Node")))</f>
        <v/>
      </c>
      <c r="B132" s="8" t="str">
        <f>IF(A132&lt;='Characteristics&amp;Parameters'!$B$17,'Characteristics&amp;Parameters'!$B$7,IF(ConcentrationsCalculations!A132="DS Node",'Characteristics&amp;Parameters'!$B$8,""))</f>
        <v/>
      </c>
      <c r="C132" s="8"/>
      <c r="E132" s="7" t="s">
        <v>25</v>
      </c>
      <c r="F132" s="8" t="s">
        <v>25</v>
      </c>
      <c r="I132" s="7" t="str">
        <f>IF(I131&lt;'Characteristics&amp;Parameters'!$B$17,ConcentrationsCalculations!I131+1,IF(I131="DS Node","",IF(I131="","","DS Node")))</f>
        <v/>
      </c>
      <c r="J132" s="13" t="str">
        <f>IF(I132="DS Node",'Characteristics&amp;Parameters'!$B$8,IF(I132&lt;='Characteristics&amp;Parameters'!$B$17,((1-'Characteristics&amp;Parameters'!$B$19)*ConcentrationsCalculations!F132+'Characteristics&amp;Parameters'!$B$19*ConcentrationsCalculations!F131-F132/86400*'Characteristics&amp;Parameters'!$B$11*'Characteristics&amp;Parameters'!$B$12),""))</f>
        <v/>
      </c>
    </row>
    <row r="133" spans="1:10" x14ac:dyDescent="0.5">
      <c r="A133" s="7" t="str">
        <f>IF(A132&lt;'Characteristics&amp;Parameters'!$B$17,ConcentrationsCalculations!A132+1,IF(A132="DS Node","",IF(A132="","","DS Node")))</f>
        <v/>
      </c>
      <c r="B133" s="8" t="str">
        <f>IF(A133&lt;='Characteristics&amp;Parameters'!$B$17,'Characteristics&amp;Parameters'!$B$7,IF(ConcentrationsCalculations!A133="DS Node",'Characteristics&amp;Parameters'!$B$8,""))</f>
        <v/>
      </c>
      <c r="C133" s="8"/>
      <c r="E133" s="7" t="s">
        <v>25</v>
      </c>
      <c r="F133" s="8" t="s">
        <v>25</v>
      </c>
      <c r="I133" s="7" t="str">
        <f>IF(I132&lt;'Characteristics&amp;Parameters'!$B$17,ConcentrationsCalculations!I132+1,IF(I132="DS Node","",IF(I132="","","DS Node")))</f>
        <v/>
      </c>
      <c r="J133" s="13" t="str">
        <f>IF(I133="DS Node",'Characteristics&amp;Parameters'!$B$8,IF(I133&lt;='Characteristics&amp;Parameters'!$B$17,((1-'Characteristics&amp;Parameters'!$B$19)*ConcentrationsCalculations!F133+'Characteristics&amp;Parameters'!$B$19*ConcentrationsCalculations!F132-F133/86400*'Characteristics&amp;Parameters'!$B$11*'Characteristics&amp;Parameters'!$B$12),""))</f>
        <v/>
      </c>
    </row>
    <row r="134" spans="1:10" x14ac:dyDescent="0.5">
      <c r="A134" s="7" t="str">
        <f>IF(A133&lt;'Characteristics&amp;Parameters'!$B$17,ConcentrationsCalculations!A133+1,IF(A133="DS Node","",IF(A133="","","DS Node")))</f>
        <v/>
      </c>
      <c r="B134" s="8" t="str">
        <f>IF(A134&lt;='Characteristics&amp;Parameters'!$B$17,'Characteristics&amp;Parameters'!$B$7,IF(ConcentrationsCalculations!A134="DS Node",'Characteristics&amp;Parameters'!$B$8,""))</f>
        <v/>
      </c>
      <c r="C134" s="8"/>
      <c r="E134" s="7" t="s">
        <v>25</v>
      </c>
      <c r="F134" s="8" t="s">
        <v>25</v>
      </c>
      <c r="I134" s="7" t="str">
        <f>IF(I133&lt;'Characteristics&amp;Parameters'!$B$17,ConcentrationsCalculations!I133+1,IF(I133="DS Node","",IF(I133="","","DS Node")))</f>
        <v/>
      </c>
      <c r="J134" s="13" t="str">
        <f>IF(I134="DS Node",'Characteristics&amp;Parameters'!$B$8,IF(I134&lt;='Characteristics&amp;Parameters'!$B$17,((1-'Characteristics&amp;Parameters'!$B$19)*ConcentrationsCalculations!F134+'Characteristics&amp;Parameters'!$B$19*ConcentrationsCalculations!F133-F134/86400*'Characteristics&amp;Parameters'!$B$11*'Characteristics&amp;Parameters'!$B$12),""))</f>
        <v/>
      </c>
    </row>
    <row r="135" spans="1:10" x14ac:dyDescent="0.5">
      <c r="A135" s="7" t="str">
        <f>IF(A134&lt;'Characteristics&amp;Parameters'!$B$17,ConcentrationsCalculations!A134+1,IF(A134="DS Node","",IF(A134="","","DS Node")))</f>
        <v/>
      </c>
      <c r="B135" s="8" t="str">
        <f>IF(A135&lt;='Characteristics&amp;Parameters'!$B$17,'Characteristics&amp;Parameters'!$B$7,IF(ConcentrationsCalculations!A135="DS Node",'Characteristics&amp;Parameters'!$B$8,""))</f>
        <v/>
      </c>
      <c r="C135" s="8"/>
      <c r="E135" s="7" t="s">
        <v>25</v>
      </c>
      <c r="F135" s="8" t="s">
        <v>25</v>
      </c>
      <c r="I135" s="7" t="str">
        <f>IF(I134&lt;'Characteristics&amp;Parameters'!$B$17,ConcentrationsCalculations!I134+1,IF(I134="DS Node","",IF(I134="","","DS Node")))</f>
        <v/>
      </c>
      <c r="J135" s="13" t="str">
        <f>IF(I135="DS Node",'Characteristics&amp;Parameters'!$B$8,IF(I135&lt;='Characteristics&amp;Parameters'!$B$17,((1-'Characteristics&amp;Parameters'!$B$19)*ConcentrationsCalculations!F135+'Characteristics&amp;Parameters'!$B$19*ConcentrationsCalculations!F134-F135/86400*'Characteristics&amp;Parameters'!$B$11*'Characteristics&amp;Parameters'!$B$12),""))</f>
        <v/>
      </c>
    </row>
    <row r="136" spans="1:10" x14ac:dyDescent="0.5">
      <c r="A136" s="7" t="str">
        <f>IF(A135&lt;'Characteristics&amp;Parameters'!$B$17,ConcentrationsCalculations!A135+1,IF(A135="DS Node","",IF(A135="","","DS Node")))</f>
        <v/>
      </c>
      <c r="B136" s="8" t="str">
        <f>IF(A136&lt;='Characteristics&amp;Parameters'!$B$17,'Characteristics&amp;Parameters'!$B$7,IF(ConcentrationsCalculations!A136="DS Node",'Characteristics&amp;Parameters'!$B$8,""))</f>
        <v/>
      </c>
      <c r="C136" s="8"/>
      <c r="E136" s="7" t="s">
        <v>25</v>
      </c>
      <c r="F136" s="8" t="s">
        <v>25</v>
      </c>
      <c r="I136" s="7" t="str">
        <f>IF(I135&lt;'Characteristics&amp;Parameters'!$B$17,ConcentrationsCalculations!I135+1,IF(I135="DS Node","",IF(I135="","","DS Node")))</f>
        <v/>
      </c>
      <c r="J136" s="13" t="str">
        <f>IF(I136="DS Node",'Characteristics&amp;Parameters'!$B$8,IF(I136&lt;='Characteristics&amp;Parameters'!$B$17,((1-'Characteristics&amp;Parameters'!$B$19)*ConcentrationsCalculations!F136+'Characteristics&amp;Parameters'!$B$19*ConcentrationsCalculations!F135-F136/86400*'Characteristics&amp;Parameters'!$B$11*'Characteristics&amp;Parameters'!$B$12),""))</f>
        <v/>
      </c>
    </row>
    <row r="137" spans="1:10" x14ac:dyDescent="0.5">
      <c r="A137" s="7" t="str">
        <f>IF(A136&lt;'Characteristics&amp;Parameters'!$B$17,ConcentrationsCalculations!A136+1,IF(A136="DS Node","",IF(A136="","","DS Node")))</f>
        <v/>
      </c>
      <c r="B137" s="8" t="str">
        <f>IF(A137&lt;='Characteristics&amp;Parameters'!$B$17,'Characteristics&amp;Parameters'!$B$7,IF(ConcentrationsCalculations!A137="DS Node",'Characteristics&amp;Parameters'!$B$8,""))</f>
        <v/>
      </c>
      <c r="C137" s="8"/>
      <c r="E137" s="7" t="s">
        <v>25</v>
      </c>
      <c r="F137" s="8" t="s">
        <v>25</v>
      </c>
      <c r="I137" s="7" t="str">
        <f>IF(I136&lt;'Characteristics&amp;Parameters'!$B$17,ConcentrationsCalculations!I136+1,IF(I136="DS Node","",IF(I136="","","DS Node")))</f>
        <v/>
      </c>
      <c r="J137" s="13" t="str">
        <f>IF(I137="DS Node",'Characteristics&amp;Parameters'!$B$8,IF(I137&lt;='Characteristics&amp;Parameters'!$B$17,((1-'Characteristics&amp;Parameters'!$B$19)*ConcentrationsCalculations!F137+'Characteristics&amp;Parameters'!$B$19*ConcentrationsCalculations!F136-F137/86400*'Characteristics&amp;Parameters'!$B$11*'Characteristics&amp;Parameters'!$B$12),""))</f>
        <v/>
      </c>
    </row>
    <row r="138" spans="1:10" x14ac:dyDescent="0.5">
      <c r="A138" s="7" t="str">
        <f>IF(A137&lt;'Characteristics&amp;Parameters'!$B$17,ConcentrationsCalculations!A137+1,IF(A137="DS Node","",IF(A137="","","DS Node")))</f>
        <v/>
      </c>
      <c r="B138" s="8" t="str">
        <f>IF(A138&lt;='Characteristics&amp;Parameters'!$B$17,'Characteristics&amp;Parameters'!$B$7,IF(ConcentrationsCalculations!A138="DS Node",'Characteristics&amp;Parameters'!$B$8,""))</f>
        <v/>
      </c>
      <c r="C138" s="8"/>
      <c r="E138" s="7" t="s">
        <v>25</v>
      </c>
      <c r="F138" s="8" t="s">
        <v>25</v>
      </c>
      <c r="I138" s="7" t="str">
        <f>IF(I137&lt;'Characteristics&amp;Parameters'!$B$17,ConcentrationsCalculations!I137+1,IF(I137="DS Node","",IF(I137="","","DS Node")))</f>
        <v/>
      </c>
      <c r="J138" s="13" t="str">
        <f>IF(I138="DS Node",'Characteristics&amp;Parameters'!$B$8,IF(I138&lt;='Characteristics&amp;Parameters'!$B$17,((1-'Characteristics&amp;Parameters'!$B$19)*ConcentrationsCalculations!F138+'Characteristics&amp;Parameters'!$B$19*ConcentrationsCalculations!F137-F138/86400*'Characteristics&amp;Parameters'!$B$11*'Characteristics&amp;Parameters'!$B$12),""))</f>
        <v/>
      </c>
    </row>
    <row r="139" spans="1:10" x14ac:dyDescent="0.5">
      <c r="A139" s="7" t="str">
        <f>IF(A138&lt;'Characteristics&amp;Parameters'!$B$17,ConcentrationsCalculations!A138+1,IF(A138="DS Node","",IF(A138="","","DS Node")))</f>
        <v/>
      </c>
      <c r="B139" s="8" t="str">
        <f>IF(A139&lt;='Characteristics&amp;Parameters'!$B$17,'Characteristics&amp;Parameters'!$B$7,IF(ConcentrationsCalculations!A139="DS Node",'Characteristics&amp;Parameters'!$B$8,""))</f>
        <v/>
      </c>
      <c r="C139" s="8"/>
      <c r="E139" s="7" t="s">
        <v>25</v>
      </c>
      <c r="F139" s="8" t="s">
        <v>25</v>
      </c>
      <c r="I139" s="7" t="str">
        <f>IF(I138&lt;'Characteristics&amp;Parameters'!$B$17,ConcentrationsCalculations!I138+1,IF(I138="DS Node","",IF(I138="","","DS Node")))</f>
        <v/>
      </c>
      <c r="J139" s="13" t="str">
        <f>IF(I139="DS Node",'Characteristics&amp;Parameters'!$B$8,IF(I139&lt;='Characteristics&amp;Parameters'!$B$17,((1-'Characteristics&amp;Parameters'!$B$19)*ConcentrationsCalculations!F139+'Characteristics&amp;Parameters'!$B$19*ConcentrationsCalculations!F138-F139/86400*'Characteristics&amp;Parameters'!$B$11*'Characteristics&amp;Parameters'!$B$12),""))</f>
        <v/>
      </c>
    </row>
    <row r="140" spans="1:10" x14ac:dyDescent="0.5">
      <c r="A140" s="7" t="str">
        <f>IF(A139&lt;'Characteristics&amp;Parameters'!$B$17,ConcentrationsCalculations!A139+1,IF(A139="DS Node","",IF(A139="","","DS Node")))</f>
        <v/>
      </c>
      <c r="B140" s="8" t="str">
        <f>IF(A140&lt;='Characteristics&amp;Parameters'!$B$17,'Characteristics&amp;Parameters'!$B$7,IF(ConcentrationsCalculations!A140="DS Node",'Characteristics&amp;Parameters'!$B$8,""))</f>
        <v/>
      </c>
      <c r="C140" s="8"/>
      <c r="E140" s="7" t="s">
        <v>25</v>
      </c>
      <c r="F140" s="8" t="s">
        <v>25</v>
      </c>
      <c r="I140" s="7" t="str">
        <f>IF(I139&lt;'Characteristics&amp;Parameters'!$B$17,ConcentrationsCalculations!I139+1,IF(I139="DS Node","",IF(I139="","","DS Node")))</f>
        <v/>
      </c>
      <c r="J140" s="13" t="str">
        <f>IF(I140="DS Node",'Characteristics&amp;Parameters'!$B$8,IF(I140&lt;='Characteristics&amp;Parameters'!$B$17,((1-'Characteristics&amp;Parameters'!$B$19)*ConcentrationsCalculations!F140+'Characteristics&amp;Parameters'!$B$19*ConcentrationsCalculations!F139-F140/86400*'Characteristics&amp;Parameters'!$B$11*'Characteristics&amp;Parameters'!$B$12),""))</f>
        <v/>
      </c>
    </row>
    <row r="141" spans="1:10" x14ac:dyDescent="0.5">
      <c r="A141" s="7" t="str">
        <f>IF(A140&lt;'Characteristics&amp;Parameters'!$B$17,ConcentrationsCalculations!A140+1,IF(A140="DS Node","",IF(A140="","","DS Node")))</f>
        <v/>
      </c>
      <c r="B141" s="8" t="str">
        <f>IF(A141&lt;='Characteristics&amp;Parameters'!$B$17,'Characteristics&amp;Parameters'!$B$7,IF(ConcentrationsCalculations!A141="DS Node",'Characteristics&amp;Parameters'!$B$8,""))</f>
        <v/>
      </c>
      <c r="C141" s="8"/>
      <c r="E141" s="7" t="s">
        <v>25</v>
      </c>
      <c r="F141" s="8" t="s">
        <v>25</v>
      </c>
      <c r="I141" s="7" t="str">
        <f>IF(I140&lt;'Characteristics&amp;Parameters'!$B$17,ConcentrationsCalculations!I140+1,IF(I140="DS Node","",IF(I140="","","DS Node")))</f>
        <v/>
      </c>
      <c r="J141" s="13" t="str">
        <f>IF(I141="DS Node",'Characteristics&amp;Parameters'!$B$8,IF(I141&lt;='Characteristics&amp;Parameters'!$B$17,((1-'Characteristics&amp;Parameters'!$B$19)*ConcentrationsCalculations!F141+'Characteristics&amp;Parameters'!$B$19*ConcentrationsCalculations!F140-F141/86400*'Characteristics&amp;Parameters'!$B$11*'Characteristics&amp;Parameters'!$B$12),""))</f>
        <v/>
      </c>
    </row>
    <row r="142" spans="1:10" x14ac:dyDescent="0.5">
      <c r="A142" s="7" t="str">
        <f>IF(A141&lt;'Characteristics&amp;Parameters'!$B$17,ConcentrationsCalculations!A141+1,IF(A141="DS Node","",IF(A141="","","DS Node")))</f>
        <v/>
      </c>
      <c r="B142" s="8" t="str">
        <f>IF(A142&lt;='Characteristics&amp;Parameters'!$B$17,'Characteristics&amp;Parameters'!$B$7,IF(ConcentrationsCalculations!A142="DS Node",'Characteristics&amp;Parameters'!$B$8,""))</f>
        <v/>
      </c>
      <c r="C142" s="8"/>
      <c r="E142" s="7" t="s">
        <v>25</v>
      </c>
      <c r="F142" s="8" t="s">
        <v>25</v>
      </c>
      <c r="I142" s="7" t="str">
        <f>IF(I141&lt;'Characteristics&amp;Parameters'!$B$17,ConcentrationsCalculations!I141+1,IF(I141="DS Node","",IF(I141="","","DS Node")))</f>
        <v/>
      </c>
      <c r="J142" s="13" t="str">
        <f>IF(I142="DS Node",'Characteristics&amp;Parameters'!$B$8,IF(I142&lt;='Characteristics&amp;Parameters'!$B$17,((1-'Characteristics&amp;Parameters'!$B$19)*ConcentrationsCalculations!F142+'Characteristics&amp;Parameters'!$B$19*ConcentrationsCalculations!F141-F142/86400*'Characteristics&amp;Parameters'!$B$11*'Characteristics&amp;Parameters'!$B$12),""))</f>
        <v/>
      </c>
    </row>
    <row r="143" spans="1:10" x14ac:dyDescent="0.5">
      <c r="A143" s="7" t="str">
        <f>IF(A142&lt;'Characteristics&amp;Parameters'!$B$17,ConcentrationsCalculations!A142+1,IF(A142="DS Node","",IF(A142="","","DS Node")))</f>
        <v/>
      </c>
      <c r="B143" s="8" t="str">
        <f>IF(A143&lt;='Characteristics&amp;Parameters'!$B$17,'Characteristics&amp;Parameters'!$B$7,IF(ConcentrationsCalculations!A143="DS Node",'Characteristics&amp;Parameters'!$B$8,""))</f>
        <v/>
      </c>
      <c r="C143" s="8"/>
      <c r="E143" s="7" t="s">
        <v>25</v>
      </c>
      <c r="F143" s="8" t="s">
        <v>25</v>
      </c>
      <c r="I143" s="7" t="str">
        <f>IF(I142&lt;'Characteristics&amp;Parameters'!$B$17,ConcentrationsCalculations!I142+1,IF(I142="DS Node","",IF(I142="","","DS Node")))</f>
        <v/>
      </c>
      <c r="J143" s="13" t="str">
        <f>IF(I143="DS Node",'Characteristics&amp;Parameters'!$B$8,IF(I143&lt;='Characteristics&amp;Parameters'!$B$17,((1-'Characteristics&amp;Parameters'!$B$19)*ConcentrationsCalculations!F143+'Characteristics&amp;Parameters'!$B$19*ConcentrationsCalculations!F142-F143/86400*'Characteristics&amp;Parameters'!$B$11*'Characteristics&amp;Parameters'!$B$12),""))</f>
        <v/>
      </c>
    </row>
    <row r="144" spans="1:10" x14ac:dyDescent="0.5">
      <c r="A144" s="7" t="str">
        <f>IF(A143&lt;'Characteristics&amp;Parameters'!$B$17,ConcentrationsCalculations!A143+1,IF(A143="DS Node","",IF(A143="","","DS Node")))</f>
        <v/>
      </c>
      <c r="B144" s="8" t="str">
        <f>IF(A144&lt;='Characteristics&amp;Parameters'!$B$17,'Characteristics&amp;Parameters'!$B$7,IF(ConcentrationsCalculations!A144="DS Node",'Characteristics&amp;Parameters'!$B$8,""))</f>
        <v/>
      </c>
      <c r="C144" s="8"/>
      <c r="E144" s="7" t="s">
        <v>25</v>
      </c>
      <c r="F144" s="8" t="s">
        <v>25</v>
      </c>
      <c r="I144" s="7" t="str">
        <f>IF(I143&lt;'Characteristics&amp;Parameters'!$B$17,ConcentrationsCalculations!I143+1,IF(I143="DS Node","",IF(I143="","","DS Node")))</f>
        <v/>
      </c>
      <c r="J144" s="13" t="str">
        <f>IF(I144="DS Node",'Characteristics&amp;Parameters'!$B$8,IF(I144&lt;='Characteristics&amp;Parameters'!$B$17,((1-'Characteristics&amp;Parameters'!$B$19)*ConcentrationsCalculations!F144+'Characteristics&amp;Parameters'!$B$19*ConcentrationsCalculations!F143-F144/86400*'Characteristics&amp;Parameters'!$B$11*'Characteristics&amp;Parameters'!$B$12),""))</f>
        <v/>
      </c>
    </row>
    <row r="145" spans="1:10" x14ac:dyDescent="0.5">
      <c r="A145" s="7" t="str">
        <f>IF(A144&lt;'Characteristics&amp;Parameters'!$B$17,ConcentrationsCalculations!A144+1,IF(A144="DS Node","",IF(A144="","","DS Node")))</f>
        <v/>
      </c>
      <c r="B145" s="8" t="str">
        <f>IF(A145&lt;='Characteristics&amp;Parameters'!$B$17,'Characteristics&amp;Parameters'!$B$7,IF(ConcentrationsCalculations!A145="DS Node",'Characteristics&amp;Parameters'!$B$8,""))</f>
        <v/>
      </c>
      <c r="C145" s="8"/>
      <c r="E145" s="7" t="s">
        <v>25</v>
      </c>
      <c r="F145" s="8" t="s">
        <v>25</v>
      </c>
      <c r="I145" s="7" t="str">
        <f>IF(I144&lt;'Characteristics&amp;Parameters'!$B$17,ConcentrationsCalculations!I144+1,IF(I144="DS Node","",IF(I144="","","DS Node")))</f>
        <v/>
      </c>
      <c r="J145" s="13" t="str">
        <f>IF(I145="DS Node",'Characteristics&amp;Parameters'!$B$8,IF(I145&lt;='Characteristics&amp;Parameters'!$B$17,((1-'Characteristics&amp;Parameters'!$B$19)*ConcentrationsCalculations!F145+'Characteristics&amp;Parameters'!$B$19*ConcentrationsCalculations!F144-F145/86400*'Characteristics&amp;Parameters'!$B$11*'Characteristics&amp;Parameters'!$B$12),""))</f>
        <v/>
      </c>
    </row>
    <row r="146" spans="1:10" x14ac:dyDescent="0.5">
      <c r="A146" s="7" t="str">
        <f>IF(A145&lt;'Characteristics&amp;Parameters'!$B$17,ConcentrationsCalculations!A145+1,IF(A145="DS Node","",IF(A145="","","DS Node")))</f>
        <v/>
      </c>
      <c r="B146" s="8" t="str">
        <f>IF(A146&lt;='Characteristics&amp;Parameters'!$B$17,'Characteristics&amp;Parameters'!$B$7,IF(ConcentrationsCalculations!A146="DS Node",'Characteristics&amp;Parameters'!$B$8,""))</f>
        <v/>
      </c>
      <c r="C146" s="8"/>
      <c r="E146" s="7" t="s">
        <v>25</v>
      </c>
      <c r="F146" s="8" t="s">
        <v>25</v>
      </c>
      <c r="I146" s="7" t="str">
        <f>IF(I145&lt;'Characteristics&amp;Parameters'!$B$17,ConcentrationsCalculations!I145+1,IF(I145="DS Node","",IF(I145="","","DS Node")))</f>
        <v/>
      </c>
      <c r="J146" s="13" t="str">
        <f>IF(I146="DS Node",'Characteristics&amp;Parameters'!$B$8,IF(I146&lt;='Characteristics&amp;Parameters'!$B$17,((1-'Characteristics&amp;Parameters'!$B$19)*ConcentrationsCalculations!F146+'Characteristics&amp;Parameters'!$B$19*ConcentrationsCalculations!F145-F146/86400*'Characteristics&amp;Parameters'!$B$11*'Characteristics&amp;Parameters'!$B$12),""))</f>
        <v/>
      </c>
    </row>
    <row r="147" spans="1:10" x14ac:dyDescent="0.5">
      <c r="A147" s="7" t="str">
        <f>IF(A146&lt;'Characteristics&amp;Parameters'!$B$17,ConcentrationsCalculations!A146+1,IF(A146="DS Node","",IF(A146="","","DS Node")))</f>
        <v/>
      </c>
      <c r="B147" s="8" t="str">
        <f>IF(A147&lt;='Characteristics&amp;Parameters'!$B$17,'Characteristics&amp;Parameters'!$B$7,IF(ConcentrationsCalculations!A147="DS Node",'Characteristics&amp;Parameters'!$B$8,""))</f>
        <v/>
      </c>
      <c r="C147" s="8"/>
      <c r="E147" s="7" t="s">
        <v>25</v>
      </c>
      <c r="F147" s="8" t="s">
        <v>25</v>
      </c>
      <c r="I147" s="7" t="str">
        <f>IF(I146&lt;'Characteristics&amp;Parameters'!$B$17,ConcentrationsCalculations!I146+1,IF(I146="DS Node","",IF(I146="","","DS Node")))</f>
        <v/>
      </c>
      <c r="J147" s="13" t="str">
        <f>IF(I147="DS Node",'Characteristics&amp;Parameters'!$B$8,IF(I147&lt;='Characteristics&amp;Parameters'!$B$17,((1-'Characteristics&amp;Parameters'!$B$19)*ConcentrationsCalculations!F147+'Characteristics&amp;Parameters'!$B$19*ConcentrationsCalculations!F146-F147/86400*'Characteristics&amp;Parameters'!$B$11*'Characteristics&amp;Parameters'!$B$12),""))</f>
        <v/>
      </c>
    </row>
    <row r="148" spans="1:10" x14ac:dyDescent="0.5">
      <c r="A148" s="7" t="str">
        <f>IF(A147&lt;'Characteristics&amp;Parameters'!$B$17,ConcentrationsCalculations!A147+1,IF(A147="DS Node","",IF(A147="","","DS Node")))</f>
        <v/>
      </c>
      <c r="B148" s="8" t="str">
        <f>IF(A148&lt;='Characteristics&amp;Parameters'!$B$17,'Characteristics&amp;Parameters'!$B$7,IF(ConcentrationsCalculations!A148="DS Node",'Characteristics&amp;Parameters'!$B$8,""))</f>
        <v/>
      </c>
      <c r="C148" s="8"/>
      <c r="E148" s="7" t="s">
        <v>25</v>
      </c>
      <c r="F148" s="8" t="s">
        <v>25</v>
      </c>
      <c r="I148" s="7" t="str">
        <f>IF(I147&lt;'Characteristics&amp;Parameters'!$B$17,ConcentrationsCalculations!I147+1,IF(I147="DS Node","",IF(I147="","","DS Node")))</f>
        <v/>
      </c>
      <c r="J148" s="13" t="str">
        <f>IF(I148="DS Node",'Characteristics&amp;Parameters'!$B$8,IF(I148&lt;='Characteristics&amp;Parameters'!$B$17,((1-'Characteristics&amp;Parameters'!$B$19)*ConcentrationsCalculations!F148+'Characteristics&amp;Parameters'!$B$19*ConcentrationsCalculations!F147-F148/86400*'Characteristics&amp;Parameters'!$B$11*'Characteristics&amp;Parameters'!$B$12),""))</f>
        <v/>
      </c>
    </row>
    <row r="149" spans="1:10" x14ac:dyDescent="0.5">
      <c r="A149" s="7" t="str">
        <f>IF(A148&lt;'Characteristics&amp;Parameters'!$B$17,ConcentrationsCalculations!A148+1,IF(A148="DS Node","",IF(A148="","","DS Node")))</f>
        <v/>
      </c>
      <c r="B149" s="8" t="str">
        <f>IF(A149&lt;='Characteristics&amp;Parameters'!$B$17,'Characteristics&amp;Parameters'!$B$7,IF(ConcentrationsCalculations!A149="DS Node",'Characteristics&amp;Parameters'!$B$8,""))</f>
        <v/>
      </c>
      <c r="C149" s="8"/>
      <c r="E149" s="7" t="s">
        <v>25</v>
      </c>
      <c r="F149" s="8" t="s">
        <v>25</v>
      </c>
      <c r="I149" s="7" t="str">
        <f>IF(I148&lt;'Characteristics&amp;Parameters'!$B$17,ConcentrationsCalculations!I148+1,IF(I148="DS Node","",IF(I148="","","DS Node")))</f>
        <v/>
      </c>
      <c r="J149" s="13" t="str">
        <f>IF(I149="DS Node",'Characteristics&amp;Parameters'!$B$8,IF(I149&lt;='Characteristics&amp;Parameters'!$B$17,((1-'Characteristics&amp;Parameters'!$B$19)*ConcentrationsCalculations!F149+'Characteristics&amp;Parameters'!$B$19*ConcentrationsCalculations!F148-F149/86400*'Characteristics&amp;Parameters'!$B$11*'Characteristics&amp;Parameters'!$B$12),""))</f>
        <v/>
      </c>
    </row>
    <row r="150" spans="1:10" x14ac:dyDescent="0.5">
      <c r="A150" s="7" t="str">
        <f>IF(A149&lt;'Characteristics&amp;Parameters'!$B$17,ConcentrationsCalculations!A149+1,IF(A149="DS Node","",IF(A149="","","DS Node")))</f>
        <v/>
      </c>
      <c r="B150" s="8" t="str">
        <f>IF(A150&lt;='Characteristics&amp;Parameters'!$B$17,'Characteristics&amp;Parameters'!$B$7,IF(ConcentrationsCalculations!A150="DS Node",'Characteristics&amp;Parameters'!$B$8,""))</f>
        <v/>
      </c>
      <c r="C150" s="8"/>
      <c r="E150" s="7" t="s">
        <v>25</v>
      </c>
      <c r="F150" s="8" t="s">
        <v>25</v>
      </c>
      <c r="I150" s="7" t="str">
        <f>IF(I149&lt;'Characteristics&amp;Parameters'!$B$17,ConcentrationsCalculations!I149+1,IF(I149="DS Node","",IF(I149="","","DS Node")))</f>
        <v/>
      </c>
      <c r="J150" s="13" t="str">
        <f>IF(I150="DS Node",'Characteristics&amp;Parameters'!$B$8,IF(I150&lt;='Characteristics&amp;Parameters'!$B$17,((1-'Characteristics&amp;Parameters'!$B$19)*ConcentrationsCalculations!F150+'Characteristics&amp;Parameters'!$B$19*ConcentrationsCalculations!F149-F150/86400*'Characteristics&amp;Parameters'!$B$11*'Characteristics&amp;Parameters'!$B$12),""))</f>
        <v/>
      </c>
    </row>
    <row r="151" spans="1:10" x14ac:dyDescent="0.5">
      <c r="A151" s="7" t="str">
        <f>IF(A150&lt;'Characteristics&amp;Parameters'!$B$17,ConcentrationsCalculations!A150+1,IF(A150="DS Node","",IF(A150="","","DS Node")))</f>
        <v/>
      </c>
      <c r="B151" s="8" t="str">
        <f>IF(A151&lt;='Characteristics&amp;Parameters'!$B$17,'Characteristics&amp;Parameters'!$B$7,IF(ConcentrationsCalculations!A151="DS Node",'Characteristics&amp;Parameters'!$B$8,""))</f>
        <v/>
      </c>
      <c r="C151" s="8"/>
      <c r="E151" s="7" t="s">
        <v>25</v>
      </c>
      <c r="F151" s="8" t="s">
        <v>25</v>
      </c>
      <c r="I151" s="7" t="str">
        <f>IF(I150&lt;'Characteristics&amp;Parameters'!$B$17,ConcentrationsCalculations!I150+1,IF(I150="DS Node","",IF(I150="","","DS Node")))</f>
        <v/>
      </c>
      <c r="J151" s="13" t="str">
        <f>IF(I151="DS Node",'Characteristics&amp;Parameters'!$B$8,IF(I151&lt;='Characteristics&amp;Parameters'!$B$17,((1-'Characteristics&amp;Parameters'!$B$19)*ConcentrationsCalculations!F151+'Characteristics&amp;Parameters'!$B$19*ConcentrationsCalculations!F150-F151/86400*'Characteristics&amp;Parameters'!$B$11*'Characteristics&amp;Parameters'!$B$12),""))</f>
        <v/>
      </c>
    </row>
    <row r="152" spans="1:10" x14ac:dyDescent="0.5">
      <c r="A152" s="7" t="str">
        <f>IF(A151&lt;'Characteristics&amp;Parameters'!$B$17,ConcentrationsCalculations!A151+1,IF(A151="DS Node","",IF(A151="","","DS Node")))</f>
        <v/>
      </c>
      <c r="B152" s="8" t="str">
        <f>IF(A152&lt;='Characteristics&amp;Parameters'!$B$17,'Characteristics&amp;Parameters'!$B$7,IF(ConcentrationsCalculations!A152="DS Node",'Characteristics&amp;Parameters'!$B$8,""))</f>
        <v/>
      </c>
      <c r="C152" s="8"/>
      <c r="E152" s="7" t="s">
        <v>25</v>
      </c>
      <c r="F152" s="8" t="s">
        <v>25</v>
      </c>
      <c r="I152" s="7" t="str">
        <f>IF(I151&lt;'Characteristics&amp;Parameters'!$B$17,ConcentrationsCalculations!I151+1,IF(I151="DS Node","",IF(I151="","","DS Node")))</f>
        <v/>
      </c>
      <c r="J152" s="13" t="str">
        <f>IF(I152="DS Node",'Characteristics&amp;Parameters'!$B$8,IF(I152&lt;='Characteristics&amp;Parameters'!$B$17,((1-'Characteristics&amp;Parameters'!$B$19)*ConcentrationsCalculations!F152+'Characteristics&amp;Parameters'!$B$19*ConcentrationsCalculations!F151-F152/86400*'Characteristics&amp;Parameters'!$B$11*'Characteristics&amp;Parameters'!$B$12),""))</f>
        <v/>
      </c>
    </row>
    <row r="153" spans="1:10" x14ac:dyDescent="0.5">
      <c r="A153" s="7" t="str">
        <f>IF(A152&lt;'Characteristics&amp;Parameters'!$B$17,ConcentrationsCalculations!A152+1,IF(A152="DS Node","",IF(A152="","","DS Node")))</f>
        <v/>
      </c>
      <c r="B153" s="8" t="str">
        <f>IF(A153&lt;='Characteristics&amp;Parameters'!$B$17,'Characteristics&amp;Parameters'!$B$7,IF(ConcentrationsCalculations!A153="DS Node",'Characteristics&amp;Parameters'!$B$8,""))</f>
        <v/>
      </c>
      <c r="C153" s="8"/>
      <c r="E153" s="7" t="s">
        <v>25</v>
      </c>
      <c r="F153" s="8" t="s">
        <v>25</v>
      </c>
      <c r="I153" s="7" t="str">
        <f>IF(I152&lt;'Characteristics&amp;Parameters'!$B$17,ConcentrationsCalculations!I152+1,IF(I152="DS Node","",IF(I152="","","DS Node")))</f>
        <v/>
      </c>
      <c r="J153" s="13" t="str">
        <f>IF(I153="DS Node",'Characteristics&amp;Parameters'!$B$8,IF(I153&lt;='Characteristics&amp;Parameters'!$B$17,((1-'Characteristics&amp;Parameters'!$B$19)*ConcentrationsCalculations!F153+'Characteristics&amp;Parameters'!$B$19*ConcentrationsCalculations!F152-F153/86400*'Characteristics&amp;Parameters'!$B$11*'Characteristics&amp;Parameters'!$B$12),""))</f>
        <v/>
      </c>
    </row>
    <row r="154" spans="1:10" x14ac:dyDescent="0.5">
      <c r="A154" s="7" t="str">
        <f>IF(A153&lt;'Characteristics&amp;Parameters'!$B$17,ConcentrationsCalculations!A153+1,IF(A153="DS Node","",IF(A153="","","DS Node")))</f>
        <v/>
      </c>
      <c r="B154" s="8" t="str">
        <f>IF(A154&lt;='Characteristics&amp;Parameters'!$B$17,'Characteristics&amp;Parameters'!$B$7,IF(ConcentrationsCalculations!A154="DS Node",'Characteristics&amp;Parameters'!$B$8,""))</f>
        <v/>
      </c>
      <c r="C154" s="8"/>
      <c r="E154" s="7" t="s">
        <v>25</v>
      </c>
      <c r="F154" s="8" t="s">
        <v>25</v>
      </c>
      <c r="I154" s="7" t="str">
        <f>IF(I153&lt;'Characteristics&amp;Parameters'!$B$17,ConcentrationsCalculations!I153+1,IF(I153="DS Node","",IF(I153="","","DS Node")))</f>
        <v/>
      </c>
      <c r="J154" s="13" t="str">
        <f>IF(I154="DS Node",'Characteristics&amp;Parameters'!$B$8,IF(I154&lt;='Characteristics&amp;Parameters'!$B$17,((1-'Characteristics&amp;Parameters'!$B$19)*ConcentrationsCalculations!F154+'Characteristics&amp;Parameters'!$B$19*ConcentrationsCalculations!F153-F154/86400*'Characteristics&amp;Parameters'!$B$11*'Characteristics&amp;Parameters'!$B$12),""))</f>
        <v/>
      </c>
    </row>
    <row r="155" spans="1:10" x14ac:dyDescent="0.5">
      <c r="A155" s="7" t="str">
        <f>IF(A154&lt;'Characteristics&amp;Parameters'!$B$17,ConcentrationsCalculations!A154+1,IF(A154="DS Node","",IF(A154="","","DS Node")))</f>
        <v/>
      </c>
      <c r="B155" s="8" t="str">
        <f>IF(A155&lt;='Characteristics&amp;Parameters'!$B$17,'Characteristics&amp;Parameters'!$B$7,IF(ConcentrationsCalculations!A155="DS Node",'Characteristics&amp;Parameters'!$B$8,""))</f>
        <v/>
      </c>
      <c r="C155" s="8"/>
      <c r="E155" s="7" t="s">
        <v>25</v>
      </c>
      <c r="F155" s="8" t="s">
        <v>25</v>
      </c>
      <c r="I155" s="7" t="str">
        <f>IF(I154&lt;'Characteristics&amp;Parameters'!$B$17,ConcentrationsCalculations!I154+1,IF(I154="DS Node","",IF(I154="","","DS Node")))</f>
        <v/>
      </c>
      <c r="J155" s="13" t="str">
        <f>IF(I155="DS Node",'Characteristics&amp;Parameters'!$B$8,IF(I155&lt;='Characteristics&amp;Parameters'!$B$17,((1-'Characteristics&amp;Parameters'!$B$19)*ConcentrationsCalculations!F155+'Characteristics&amp;Parameters'!$B$19*ConcentrationsCalculations!F154-F155/86400*'Characteristics&amp;Parameters'!$B$11*'Characteristics&amp;Parameters'!$B$12),""))</f>
        <v/>
      </c>
    </row>
    <row r="156" spans="1:10" x14ac:dyDescent="0.5">
      <c r="A156" s="7" t="str">
        <f>IF(A155&lt;'Characteristics&amp;Parameters'!$B$17,ConcentrationsCalculations!A155+1,IF(A155="DS Node","",IF(A155="","","DS Node")))</f>
        <v/>
      </c>
      <c r="B156" s="8" t="str">
        <f>IF(A156&lt;='Characteristics&amp;Parameters'!$B$17,'Characteristics&amp;Parameters'!$B$7,IF(ConcentrationsCalculations!A156="DS Node",'Characteristics&amp;Parameters'!$B$8,""))</f>
        <v/>
      </c>
      <c r="C156" s="8"/>
      <c r="E156" s="7" t="s">
        <v>25</v>
      </c>
      <c r="F156" s="8" t="s">
        <v>25</v>
      </c>
      <c r="I156" s="7" t="str">
        <f>IF(I155&lt;'Characteristics&amp;Parameters'!$B$17,ConcentrationsCalculations!I155+1,IF(I155="DS Node","",IF(I155="","","DS Node")))</f>
        <v/>
      </c>
      <c r="J156" s="13" t="str">
        <f>IF(I156="DS Node",'Characteristics&amp;Parameters'!$B$8,IF(I156&lt;='Characteristics&amp;Parameters'!$B$17,((1-'Characteristics&amp;Parameters'!$B$19)*ConcentrationsCalculations!F156+'Characteristics&amp;Parameters'!$B$19*ConcentrationsCalculations!F155-F156/86400*'Characteristics&amp;Parameters'!$B$11*'Characteristics&amp;Parameters'!$B$12),""))</f>
        <v/>
      </c>
    </row>
    <row r="157" spans="1:10" x14ac:dyDescent="0.5">
      <c r="A157" s="7" t="str">
        <f>IF(A156&lt;'Characteristics&amp;Parameters'!$B$17,ConcentrationsCalculations!A156+1,IF(A156="DS Node","",IF(A156="","","DS Node")))</f>
        <v/>
      </c>
      <c r="B157" s="8" t="str">
        <f>IF(A157&lt;='Characteristics&amp;Parameters'!$B$17,'Characteristics&amp;Parameters'!$B$7,IF(ConcentrationsCalculations!A157="DS Node",'Characteristics&amp;Parameters'!$B$8,""))</f>
        <v/>
      </c>
      <c r="C157" s="8"/>
      <c r="E157" s="7" t="s">
        <v>25</v>
      </c>
      <c r="F157" s="8" t="s">
        <v>25</v>
      </c>
      <c r="I157" s="7" t="str">
        <f>IF(I156&lt;'Characteristics&amp;Parameters'!$B$17,ConcentrationsCalculations!I156+1,IF(I156="DS Node","",IF(I156="","","DS Node")))</f>
        <v/>
      </c>
      <c r="J157" s="13" t="str">
        <f>IF(I157="DS Node",'Characteristics&amp;Parameters'!$B$8,IF(I157&lt;='Characteristics&amp;Parameters'!$B$17,((1-'Characteristics&amp;Parameters'!$B$19)*ConcentrationsCalculations!F157+'Characteristics&amp;Parameters'!$B$19*ConcentrationsCalculations!F156-F157/86400*'Characteristics&amp;Parameters'!$B$11*'Characteristics&amp;Parameters'!$B$12),""))</f>
        <v/>
      </c>
    </row>
    <row r="158" spans="1:10" x14ac:dyDescent="0.5">
      <c r="A158" s="7" t="str">
        <f>IF(A157&lt;'Characteristics&amp;Parameters'!$B$17,ConcentrationsCalculations!A157+1,IF(A157="DS Node","",IF(A157="","","DS Node")))</f>
        <v/>
      </c>
      <c r="B158" s="8" t="str">
        <f>IF(A158&lt;='Characteristics&amp;Parameters'!$B$17,'Characteristics&amp;Parameters'!$B$7,IF(ConcentrationsCalculations!A158="DS Node",'Characteristics&amp;Parameters'!$B$8,""))</f>
        <v/>
      </c>
      <c r="C158" s="8"/>
      <c r="E158" s="7" t="s">
        <v>25</v>
      </c>
      <c r="F158" s="8" t="s">
        <v>25</v>
      </c>
      <c r="I158" s="7" t="str">
        <f>IF(I157&lt;'Characteristics&amp;Parameters'!$B$17,ConcentrationsCalculations!I157+1,IF(I157="DS Node","",IF(I157="","","DS Node")))</f>
        <v/>
      </c>
      <c r="J158" s="13" t="str">
        <f>IF(I158="DS Node",'Characteristics&amp;Parameters'!$B$8,IF(I158&lt;='Characteristics&amp;Parameters'!$B$17,((1-'Characteristics&amp;Parameters'!$B$19)*ConcentrationsCalculations!F158+'Characteristics&amp;Parameters'!$B$19*ConcentrationsCalculations!F157-F158/86400*'Characteristics&amp;Parameters'!$B$11*'Characteristics&amp;Parameters'!$B$12),""))</f>
        <v/>
      </c>
    </row>
    <row r="159" spans="1:10" x14ac:dyDescent="0.5">
      <c r="A159" s="7" t="str">
        <f>IF(A158&lt;'Characteristics&amp;Parameters'!$B$17,ConcentrationsCalculations!A158+1,IF(A158="DS Node","",IF(A158="","","DS Node")))</f>
        <v/>
      </c>
      <c r="B159" s="8" t="str">
        <f>IF(A159&lt;='Characteristics&amp;Parameters'!$B$17,'Characteristics&amp;Parameters'!$B$7,IF(ConcentrationsCalculations!A159="DS Node",'Characteristics&amp;Parameters'!$B$8,""))</f>
        <v/>
      </c>
      <c r="C159" s="8"/>
      <c r="E159" s="7" t="s">
        <v>25</v>
      </c>
      <c r="F159" s="8" t="s">
        <v>25</v>
      </c>
      <c r="I159" s="7" t="str">
        <f>IF(I158&lt;'Characteristics&amp;Parameters'!$B$17,ConcentrationsCalculations!I158+1,IF(I158="DS Node","",IF(I158="","","DS Node")))</f>
        <v/>
      </c>
      <c r="J159" s="13" t="str">
        <f>IF(I159="DS Node",'Characteristics&amp;Parameters'!$B$8,IF(I159&lt;='Characteristics&amp;Parameters'!$B$17,((1-'Characteristics&amp;Parameters'!$B$19)*ConcentrationsCalculations!F159+'Characteristics&amp;Parameters'!$B$19*ConcentrationsCalculations!F158-F159/86400*'Characteristics&amp;Parameters'!$B$11*'Characteristics&amp;Parameters'!$B$12),""))</f>
        <v/>
      </c>
    </row>
    <row r="160" spans="1:10" x14ac:dyDescent="0.5">
      <c r="A160" s="7" t="str">
        <f>IF(A159&lt;'Characteristics&amp;Parameters'!$B$17,ConcentrationsCalculations!A159+1,IF(A159="DS Node","",IF(A159="","","DS Node")))</f>
        <v/>
      </c>
      <c r="B160" s="8" t="str">
        <f>IF(A160&lt;='Characteristics&amp;Parameters'!$B$17,'Characteristics&amp;Parameters'!$B$7,IF(ConcentrationsCalculations!A160="DS Node",'Characteristics&amp;Parameters'!$B$8,""))</f>
        <v/>
      </c>
      <c r="C160" s="8"/>
      <c r="E160" s="7" t="s">
        <v>25</v>
      </c>
      <c r="F160" s="8" t="s">
        <v>25</v>
      </c>
      <c r="I160" s="7" t="str">
        <f>IF(I159&lt;'Characteristics&amp;Parameters'!$B$17,ConcentrationsCalculations!I159+1,IF(I159="DS Node","",IF(I159="","","DS Node")))</f>
        <v/>
      </c>
      <c r="J160" s="13" t="str">
        <f>IF(I160="DS Node",'Characteristics&amp;Parameters'!$B$8,IF(I160&lt;='Characteristics&amp;Parameters'!$B$17,((1-'Characteristics&amp;Parameters'!$B$19)*ConcentrationsCalculations!F160+'Characteristics&amp;Parameters'!$B$19*ConcentrationsCalculations!F159-F160/86400*'Characteristics&amp;Parameters'!$B$11*'Characteristics&amp;Parameters'!$B$12),""))</f>
        <v/>
      </c>
    </row>
    <row r="161" spans="1:10" x14ac:dyDescent="0.5">
      <c r="A161" s="7" t="str">
        <f>IF(A160&lt;'Characteristics&amp;Parameters'!$B$17,ConcentrationsCalculations!A160+1,IF(A160="DS Node","",IF(A160="","","DS Node")))</f>
        <v/>
      </c>
      <c r="B161" s="8" t="str">
        <f>IF(A161&lt;='Characteristics&amp;Parameters'!$B$17,'Characteristics&amp;Parameters'!$B$7,IF(ConcentrationsCalculations!A161="DS Node",'Characteristics&amp;Parameters'!$B$8,""))</f>
        <v/>
      </c>
      <c r="C161" s="8"/>
      <c r="E161" s="7" t="s">
        <v>25</v>
      </c>
      <c r="F161" s="8" t="s">
        <v>25</v>
      </c>
      <c r="I161" s="7" t="str">
        <f>IF(I160&lt;'Characteristics&amp;Parameters'!$B$17,ConcentrationsCalculations!I160+1,IF(I160="DS Node","",IF(I160="","","DS Node")))</f>
        <v/>
      </c>
      <c r="J161" s="13" t="str">
        <f>IF(I161="DS Node",'Characteristics&amp;Parameters'!$B$8,IF(I161&lt;='Characteristics&amp;Parameters'!$B$17,((1-'Characteristics&amp;Parameters'!$B$19)*ConcentrationsCalculations!F161+'Characteristics&amp;Parameters'!$B$19*ConcentrationsCalculations!F160-F161/86400*'Characteristics&amp;Parameters'!$B$11*'Characteristics&amp;Parameters'!$B$12),""))</f>
        <v/>
      </c>
    </row>
    <row r="162" spans="1:10" x14ac:dyDescent="0.5">
      <c r="A162" s="7" t="str">
        <f>IF(A161&lt;'Characteristics&amp;Parameters'!$B$17,ConcentrationsCalculations!A161+1,IF(A161="DS Node","",IF(A161="","","DS Node")))</f>
        <v/>
      </c>
      <c r="B162" s="8" t="str">
        <f>IF(A162&lt;='Characteristics&amp;Parameters'!$B$17,'Characteristics&amp;Parameters'!$B$7,IF(ConcentrationsCalculations!A162="DS Node",'Characteristics&amp;Parameters'!$B$8,""))</f>
        <v/>
      </c>
      <c r="C162" s="8"/>
      <c r="E162" s="7" t="s">
        <v>25</v>
      </c>
      <c r="F162" s="8" t="s">
        <v>25</v>
      </c>
      <c r="I162" s="7" t="str">
        <f>IF(I161&lt;'Characteristics&amp;Parameters'!$B$17,ConcentrationsCalculations!I161+1,IF(I161="DS Node","",IF(I161="","","DS Node")))</f>
        <v/>
      </c>
      <c r="J162" s="13" t="str">
        <f>IF(I162="DS Node",'Characteristics&amp;Parameters'!$B$8,IF(I162&lt;='Characteristics&amp;Parameters'!$B$17,((1-'Characteristics&amp;Parameters'!$B$19)*ConcentrationsCalculations!F162+'Characteristics&amp;Parameters'!$B$19*ConcentrationsCalculations!F161-F162/86400*'Characteristics&amp;Parameters'!$B$11*'Characteristics&amp;Parameters'!$B$12),""))</f>
        <v/>
      </c>
    </row>
    <row r="163" spans="1:10" x14ac:dyDescent="0.5">
      <c r="A163" s="7" t="str">
        <f>IF(A162&lt;'Characteristics&amp;Parameters'!$B$17,ConcentrationsCalculations!A162+1,IF(A162="DS Node","",IF(A162="","","DS Node")))</f>
        <v/>
      </c>
      <c r="B163" s="8" t="str">
        <f>IF(A163&lt;='Characteristics&amp;Parameters'!$B$17,'Characteristics&amp;Parameters'!$B$7,IF(ConcentrationsCalculations!A163="DS Node",'Characteristics&amp;Parameters'!$B$8,""))</f>
        <v/>
      </c>
      <c r="C163" s="8"/>
      <c r="E163" s="7" t="s">
        <v>25</v>
      </c>
      <c r="F163" s="8" t="s">
        <v>25</v>
      </c>
      <c r="I163" s="7" t="str">
        <f>IF(I162&lt;'Characteristics&amp;Parameters'!$B$17,ConcentrationsCalculations!I162+1,IF(I162="DS Node","",IF(I162="","","DS Node")))</f>
        <v/>
      </c>
      <c r="J163" s="13" t="str">
        <f>IF(I163="DS Node",'Characteristics&amp;Parameters'!$B$8,IF(I163&lt;='Characteristics&amp;Parameters'!$B$17,((1-'Characteristics&amp;Parameters'!$B$19)*ConcentrationsCalculations!F163+'Characteristics&amp;Parameters'!$B$19*ConcentrationsCalculations!F162-F163/86400*'Characteristics&amp;Parameters'!$B$11*'Characteristics&amp;Parameters'!$B$12),""))</f>
        <v/>
      </c>
    </row>
    <row r="164" spans="1:10" x14ac:dyDescent="0.5">
      <c r="A164" s="7" t="str">
        <f>IF(A163&lt;'Characteristics&amp;Parameters'!$B$17,ConcentrationsCalculations!A163+1,IF(A163="DS Node","",IF(A163="","","DS Node")))</f>
        <v/>
      </c>
      <c r="B164" s="8" t="str">
        <f>IF(A164&lt;='Characteristics&amp;Parameters'!$B$17,'Characteristics&amp;Parameters'!$B$7,IF(ConcentrationsCalculations!A164="DS Node",'Characteristics&amp;Parameters'!$B$8,""))</f>
        <v/>
      </c>
      <c r="C164" s="8"/>
      <c r="E164" s="7" t="s">
        <v>25</v>
      </c>
      <c r="F164" s="8" t="s">
        <v>25</v>
      </c>
      <c r="I164" s="7" t="str">
        <f>IF(I163&lt;'Characteristics&amp;Parameters'!$B$17,ConcentrationsCalculations!I163+1,IF(I163="DS Node","",IF(I163="","","DS Node")))</f>
        <v/>
      </c>
      <c r="J164" s="13" t="str">
        <f>IF(I164="DS Node",'Characteristics&amp;Parameters'!$B$8,IF(I164&lt;='Characteristics&amp;Parameters'!$B$17,((1-'Characteristics&amp;Parameters'!$B$19)*ConcentrationsCalculations!F164+'Characteristics&amp;Parameters'!$B$19*ConcentrationsCalculations!F163-F164/86400*'Characteristics&amp;Parameters'!$B$11*'Characteristics&amp;Parameters'!$B$12),""))</f>
        <v/>
      </c>
    </row>
    <row r="165" spans="1:10" x14ac:dyDescent="0.5">
      <c r="A165" s="7" t="str">
        <f>IF(A164&lt;'Characteristics&amp;Parameters'!$B$17,ConcentrationsCalculations!A164+1,IF(A164="DS Node","",IF(A164="","","DS Node")))</f>
        <v/>
      </c>
      <c r="B165" s="8" t="str">
        <f>IF(A165&lt;='Characteristics&amp;Parameters'!$B$17,'Characteristics&amp;Parameters'!$B$7,IF(ConcentrationsCalculations!A165="DS Node",'Characteristics&amp;Parameters'!$B$8,""))</f>
        <v/>
      </c>
      <c r="C165" s="8"/>
      <c r="E165" s="7" t="s">
        <v>25</v>
      </c>
      <c r="F165" s="8" t="s">
        <v>25</v>
      </c>
      <c r="I165" s="7" t="str">
        <f>IF(I164&lt;'Characteristics&amp;Parameters'!$B$17,ConcentrationsCalculations!I164+1,IF(I164="DS Node","",IF(I164="","","DS Node")))</f>
        <v/>
      </c>
      <c r="J165" s="13" t="str">
        <f>IF(I165="DS Node",'Characteristics&amp;Parameters'!$B$8,IF(I165&lt;='Characteristics&amp;Parameters'!$B$17,((1-'Characteristics&amp;Parameters'!$B$19)*ConcentrationsCalculations!F165+'Characteristics&amp;Parameters'!$B$19*ConcentrationsCalculations!F164-F165/86400*'Characteristics&amp;Parameters'!$B$11*'Characteristics&amp;Parameters'!$B$12),""))</f>
        <v/>
      </c>
    </row>
    <row r="166" spans="1:10" x14ac:dyDescent="0.5">
      <c r="A166" s="7" t="str">
        <f>IF(A165&lt;'Characteristics&amp;Parameters'!$B$17,ConcentrationsCalculations!A165+1,IF(A165="DS Node","",IF(A165="","","DS Node")))</f>
        <v/>
      </c>
      <c r="B166" s="8" t="str">
        <f>IF(A166&lt;='Characteristics&amp;Parameters'!$B$17,'Characteristics&amp;Parameters'!$B$7,IF(ConcentrationsCalculations!A166="DS Node",'Characteristics&amp;Parameters'!$B$8,""))</f>
        <v/>
      </c>
      <c r="C166" s="8"/>
      <c r="E166" s="7" t="s">
        <v>25</v>
      </c>
      <c r="F166" s="8" t="s">
        <v>25</v>
      </c>
      <c r="I166" s="7" t="str">
        <f>IF(I165&lt;'Characteristics&amp;Parameters'!$B$17,ConcentrationsCalculations!I165+1,IF(I165="DS Node","",IF(I165="","","DS Node")))</f>
        <v/>
      </c>
      <c r="J166" s="13" t="str">
        <f>IF(I166="DS Node",'Characteristics&amp;Parameters'!$B$8,IF(I166&lt;='Characteristics&amp;Parameters'!$B$17,((1-'Characteristics&amp;Parameters'!$B$19)*ConcentrationsCalculations!F166+'Characteristics&amp;Parameters'!$B$19*ConcentrationsCalculations!F165-F166/86400*'Characteristics&amp;Parameters'!$B$11*'Characteristics&amp;Parameters'!$B$12),""))</f>
        <v/>
      </c>
    </row>
    <row r="167" spans="1:10" x14ac:dyDescent="0.5">
      <c r="A167" s="7" t="str">
        <f>IF(A166&lt;'Characteristics&amp;Parameters'!$B$17,ConcentrationsCalculations!A166+1,IF(A166="DS Node","",IF(A166="","","DS Node")))</f>
        <v/>
      </c>
      <c r="B167" s="8" t="str">
        <f>IF(A167&lt;='Characteristics&amp;Parameters'!$B$17,'Characteristics&amp;Parameters'!$B$7,IF(ConcentrationsCalculations!A167="DS Node",'Characteristics&amp;Parameters'!$B$8,""))</f>
        <v/>
      </c>
      <c r="C167" s="8"/>
      <c r="E167" s="7" t="s">
        <v>25</v>
      </c>
      <c r="F167" s="8" t="s">
        <v>25</v>
      </c>
      <c r="I167" s="7" t="str">
        <f>IF(I166&lt;'Characteristics&amp;Parameters'!$B$17,ConcentrationsCalculations!I166+1,IF(I166="DS Node","",IF(I166="","","DS Node")))</f>
        <v/>
      </c>
      <c r="J167" s="13" t="str">
        <f>IF(I167="DS Node",'Characteristics&amp;Parameters'!$B$8,IF(I167&lt;='Characteristics&amp;Parameters'!$B$17,((1-'Characteristics&amp;Parameters'!$B$19)*ConcentrationsCalculations!F167+'Characteristics&amp;Parameters'!$B$19*ConcentrationsCalculations!F166-F167/86400*'Characteristics&amp;Parameters'!$B$11*'Characteristics&amp;Parameters'!$B$12),""))</f>
        <v/>
      </c>
    </row>
    <row r="168" spans="1:10" x14ac:dyDescent="0.5">
      <c r="A168" s="7" t="str">
        <f>IF(A167&lt;'Characteristics&amp;Parameters'!$B$17,ConcentrationsCalculations!A167+1,IF(A167="DS Node","",IF(A167="","","DS Node")))</f>
        <v/>
      </c>
      <c r="B168" s="8" t="str">
        <f>IF(A168&lt;='Characteristics&amp;Parameters'!$B$17,'Characteristics&amp;Parameters'!$B$7,IF(ConcentrationsCalculations!A168="DS Node",'Characteristics&amp;Parameters'!$B$8,""))</f>
        <v/>
      </c>
      <c r="C168" s="8"/>
      <c r="E168" s="7" t="s">
        <v>25</v>
      </c>
      <c r="F168" s="8" t="s">
        <v>25</v>
      </c>
      <c r="I168" s="7" t="str">
        <f>IF(I167&lt;'Characteristics&amp;Parameters'!$B$17,ConcentrationsCalculations!I167+1,IF(I167="DS Node","",IF(I167="","","DS Node")))</f>
        <v/>
      </c>
      <c r="J168" s="13" t="str">
        <f>IF(I168="DS Node",'Characteristics&amp;Parameters'!$B$8,IF(I168&lt;='Characteristics&amp;Parameters'!$B$17,((1-'Characteristics&amp;Parameters'!$B$19)*ConcentrationsCalculations!F168+'Characteristics&amp;Parameters'!$B$19*ConcentrationsCalculations!F167-F168/86400*'Characteristics&amp;Parameters'!$B$11*'Characteristics&amp;Parameters'!$B$12),""))</f>
        <v/>
      </c>
    </row>
    <row r="169" spans="1:10" x14ac:dyDescent="0.5">
      <c r="A169" s="7" t="str">
        <f>IF(A168&lt;'Characteristics&amp;Parameters'!$B$17,ConcentrationsCalculations!A168+1,IF(A168="DS Node","",IF(A168="","","DS Node")))</f>
        <v/>
      </c>
      <c r="B169" s="8" t="str">
        <f>IF(A169&lt;='Characteristics&amp;Parameters'!$B$17,'Characteristics&amp;Parameters'!$B$7,IF(ConcentrationsCalculations!A169="DS Node",'Characteristics&amp;Parameters'!$B$8,""))</f>
        <v/>
      </c>
      <c r="C169" s="8"/>
      <c r="E169" s="7" t="s">
        <v>25</v>
      </c>
      <c r="F169" s="8" t="s">
        <v>25</v>
      </c>
      <c r="I169" s="7" t="str">
        <f>IF(I168&lt;'Characteristics&amp;Parameters'!$B$17,ConcentrationsCalculations!I168+1,IF(I168="DS Node","",IF(I168="","","DS Node")))</f>
        <v/>
      </c>
      <c r="J169" s="13" t="str">
        <f>IF(I169="DS Node",'Characteristics&amp;Parameters'!$B$8,IF(I169&lt;='Characteristics&amp;Parameters'!$B$17,((1-'Characteristics&amp;Parameters'!$B$19)*ConcentrationsCalculations!F169+'Characteristics&amp;Parameters'!$B$19*ConcentrationsCalculations!F168-F169/86400*'Characteristics&amp;Parameters'!$B$11*'Characteristics&amp;Parameters'!$B$12),""))</f>
        <v/>
      </c>
    </row>
    <row r="170" spans="1:10" x14ac:dyDescent="0.5">
      <c r="A170" s="7" t="str">
        <f>IF(A169&lt;'Characteristics&amp;Parameters'!$B$17,ConcentrationsCalculations!A169+1,IF(A169="DS Node","",IF(A169="","","DS Node")))</f>
        <v/>
      </c>
      <c r="B170" s="8" t="str">
        <f>IF(A170&lt;='Characteristics&amp;Parameters'!$B$17,'Characteristics&amp;Parameters'!$B$7,IF(ConcentrationsCalculations!A170="DS Node",'Characteristics&amp;Parameters'!$B$8,""))</f>
        <v/>
      </c>
      <c r="C170" s="8"/>
      <c r="E170" s="7" t="s">
        <v>25</v>
      </c>
      <c r="F170" s="8" t="s">
        <v>25</v>
      </c>
      <c r="I170" s="7" t="str">
        <f>IF(I169&lt;'Characteristics&amp;Parameters'!$B$17,ConcentrationsCalculations!I169+1,IF(I169="DS Node","",IF(I169="","","DS Node")))</f>
        <v/>
      </c>
      <c r="J170" s="13" t="str">
        <f>IF(I170="DS Node",'Characteristics&amp;Parameters'!$B$8,IF(I170&lt;='Characteristics&amp;Parameters'!$B$17,((1-'Characteristics&amp;Parameters'!$B$19)*ConcentrationsCalculations!F170+'Characteristics&amp;Parameters'!$B$19*ConcentrationsCalculations!F169-F170/86400*'Characteristics&amp;Parameters'!$B$11*'Characteristics&amp;Parameters'!$B$12),""))</f>
        <v/>
      </c>
    </row>
    <row r="171" spans="1:10" x14ac:dyDescent="0.5">
      <c r="A171" s="7" t="str">
        <f>IF(A170&lt;'Characteristics&amp;Parameters'!$B$17,ConcentrationsCalculations!A170+1,IF(A170="DS Node","",IF(A170="","","DS Node")))</f>
        <v/>
      </c>
      <c r="B171" s="8" t="str">
        <f>IF(A171&lt;='Characteristics&amp;Parameters'!$B$17,'Characteristics&amp;Parameters'!$B$7,IF(ConcentrationsCalculations!A171="DS Node",'Characteristics&amp;Parameters'!$B$8,""))</f>
        <v/>
      </c>
      <c r="C171" s="8"/>
      <c r="E171" s="7" t="s">
        <v>25</v>
      </c>
      <c r="F171" s="8" t="s">
        <v>25</v>
      </c>
      <c r="I171" s="7" t="str">
        <f>IF(I170&lt;'Characteristics&amp;Parameters'!$B$17,ConcentrationsCalculations!I170+1,IF(I170="DS Node","",IF(I170="","","DS Node")))</f>
        <v/>
      </c>
      <c r="J171" s="13" t="str">
        <f>IF(I171="DS Node",'Characteristics&amp;Parameters'!$B$8,IF(I171&lt;='Characteristics&amp;Parameters'!$B$17,((1-'Characteristics&amp;Parameters'!$B$19)*ConcentrationsCalculations!F171+'Characteristics&amp;Parameters'!$B$19*ConcentrationsCalculations!F170-F171/86400*'Characteristics&amp;Parameters'!$B$11*'Characteristics&amp;Parameters'!$B$12),""))</f>
        <v/>
      </c>
    </row>
    <row r="172" spans="1:10" x14ac:dyDescent="0.5">
      <c r="A172" s="7" t="str">
        <f>IF(A171&lt;'Characteristics&amp;Parameters'!$B$17,ConcentrationsCalculations!A171+1,IF(A171="DS Node","",IF(A171="","","DS Node")))</f>
        <v/>
      </c>
      <c r="B172" s="8" t="str">
        <f>IF(A172&lt;='Characteristics&amp;Parameters'!$B$17,'Characteristics&amp;Parameters'!$B$7,IF(ConcentrationsCalculations!A172="DS Node",'Characteristics&amp;Parameters'!$B$8,""))</f>
        <v/>
      </c>
      <c r="C172" s="8"/>
      <c r="E172" s="7" t="s">
        <v>25</v>
      </c>
      <c r="F172" s="8" t="s">
        <v>25</v>
      </c>
      <c r="I172" s="7" t="str">
        <f>IF(I171&lt;'Characteristics&amp;Parameters'!$B$17,ConcentrationsCalculations!I171+1,IF(I171="DS Node","",IF(I171="","","DS Node")))</f>
        <v/>
      </c>
      <c r="J172" s="13" t="str">
        <f>IF(I172="DS Node",'Characteristics&amp;Parameters'!$B$8,IF(I172&lt;='Characteristics&amp;Parameters'!$B$17,((1-'Characteristics&amp;Parameters'!$B$19)*ConcentrationsCalculations!F172+'Characteristics&amp;Parameters'!$B$19*ConcentrationsCalculations!F171-F172/86400*'Characteristics&amp;Parameters'!$B$11*'Characteristics&amp;Parameters'!$B$12),""))</f>
        <v/>
      </c>
    </row>
    <row r="173" spans="1:10" x14ac:dyDescent="0.5">
      <c r="A173" s="7" t="str">
        <f>IF(A172&lt;'Characteristics&amp;Parameters'!$B$17,ConcentrationsCalculations!A172+1,IF(A172="DS Node","",IF(A172="","","DS Node")))</f>
        <v/>
      </c>
      <c r="B173" s="8" t="str">
        <f>IF(A173&lt;='Characteristics&amp;Parameters'!$B$17,'Characteristics&amp;Parameters'!$B$7,IF(ConcentrationsCalculations!A173="DS Node",'Characteristics&amp;Parameters'!$B$8,""))</f>
        <v/>
      </c>
      <c r="C173" s="8"/>
      <c r="E173" s="7" t="s">
        <v>25</v>
      </c>
      <c r="F173" s="8" t="s">
        <v>25</v>
      </c>
      <c r="I173" s="7" t="str">
        <f>IF(I172&lt;'Characteristics&amp;Parameters'!$B$17,ConcentrationsCalculations!I172+1,IF(I172="DS Node","",IF(I172="","","DS Node")))</f>
        <v/>
      </c>
      <c r="J173" s="13" t="str">
        <f>IF(I173="DS Node",'Characteristics&amp;Parameters'!$B$8,IF(I173&lt;='Characteristics&amp;Parameters'!$B$17,((1-'Characteristics&amp;Parameters'!$B$19)*ConcentrationsCalculations!F173+'Characteristics&amp;Parameters'!$B$19*ConcentrationsCalculations!F172-F173/86400*'Characteristics&amp;Parameters'!$B$11*'Characteristics&amp;Parameters'!$B$12),""))</f>
        <v/>
      </c>
    </row>
    <row r="174" spans="1:10" x14ac:dyDescent="0.5">
      <c r="A174" s="7" t="str">
        <f>IF(A173&lt;'Characteristics&amp;Parameters'!$B$17,ConcentrationsCalculations!A173+1,IF(A173="DS Node","",IF(A173="","","DS Node")))</f>
        <v/>
      </c>
      <c r="B174" s="8" t="str">
        <f>IF(A174&lt;='Characteristics&amp;Parameters'!$B$17,'Characteristics&amp;Parameters'!$B$7,IF(ConcentrationsCalculations!A174="DS Node",'Characteristics&amp;Parameters'!$B$8,""))</f>
        <v/>
      </c>
      <c r="C174" s="8"/>
      <c r="E174" s="7" t="s">
        <v>25</v>
      </c>
      <c r="F174" s="8" t="s">
        <v>25</v>
      </c>
      <c r="I174" s="7" t="str">
        <f>IF(I173&lt;'Characteristics&amp;Parameters'!$B$17,ConcentrationsCalculations!I173+1,IF(I173="DS Node","",IF(I173="","","DS Node")))</f>
        <v/>
      </c>
      <c r="J174" s="13" t="str">
        <f>IF(I174="DS Node",'Characteristics&amp;Parameters'!$B$8,IF(I174&lt;='Characteristics&amp;Parameters'!$B$17,((1-'Characteristics&amp;Parameters'!$B$19)*ConcentrationsCalculations!F174+'Characteristics&amp;Parameters'!$B$19*ConcentrationsCalculations!F173-F174/86400*'Characteristics&amp;Parameters'!$B$11*'Characteristics&amp;Parameters'!$B$12),""))</f>
        <v/>
      </c>
    </row>
    <row r="175" spans="1:10" x14ac:dyDescent="0.5">
      <c r="A175" s="7" t="str">
        <f>IF(A174&lt;'Characteristics&amp;Parameters'!$B$17,ConcentrationsCalculations!A174+1,IF(A174="DS Node","",IF(A174="","","DS Node")))</f>
        <v/>
      </c>
      <c r="B175" s="8" t="str">
        <f>IF(A175&lt;='Characteristics&amp;Parameters'!$B$17,'Characteristics&amp;Parameters'!$B$7,IF(ConcentrationsCalculations!A175="DS Node",'Characteristics&amp;Parameters'!$B$8,""))</f>
        <v/>
      </c>
      <c r="C175" s="8"/>
      <c r="E175" s="7" t="s">
        <v>25</v>
      </c>
      <c r="F175" s="8" t="s">
        <v>25</v>
      </c>
      <c r="I175" s="7" t="str">
        <f>IF(I174&lt;'Characteristics&amp;Parameters'!$B$17,ConcentrationsCalculations!I174+1,IF(I174="DS Node","",IF(I174="","","DS Node")))</f>
        <v/>
      </c>
      <c r="J175" s="13" t="str">
        <f>IF(I175="DS Node",'Characteristics&amp;Parameters'!$B$8,IF(I175&lt;='Characteristics&amp;Parameters'!$B$17,((1-'Characteristics&amp;Parameters'!$B$19)*ConcentrationsCalculations!F175+'Characteristics&amp;Parameters'!$B$19*ConcentrationsCalculations!F174-F175/86400*'Characteristics&amp;Parameters'!$B$11*'Characteristics&amp;Parameters'!$B$12),""))</f>
        <v/>
      </c>
    </row>
    <row r="176" spans="1:10" x14ac:dyDescent="0.5">
      <c r="A176" s="7" t="str">
        <f>IF(A175&lt;'Characteristics&amp;Parameters'!$B$17,ConcentrationsCalculations!A175+1,IF(A175="DS Node","",IF(A175="","","DS Node")))</f>
        <v/>
      </c>
      <c r="B176" s="8" t="str">
        <f>IF(A176&lt;='Characteristics&amp;Parameters'!$B$17,'Characteristics&amp;Parameters'!$B$7,IF(ConcentrationsCalculations!A176="DS Node",'Characteristics&amp;Parameters'!$B$8,""))</f>
        <v/>
      </c>
      <c r="C176" s="8"/>
      <c r="E176" s="7" t="s">
        <v>25</v>
      </c>
      <c r="F176" s="8" t="s">
        <v>25</v>
      </c>
      <c r="I176" s="7" t="str">
        <f>IF(I175&lt;'Characteristics&amp;Parameters'!$B$17,ConcentrationsCalculations!I175+1,IF(I175="DS Node","",IF(I175="","","DS Node")))</f>
        <v/>
      </c>
      <c r="J176" s="13" t="str">
        <f>IF(I176="DS Node",'Characteristics&amp;Parameters'!$B$8,IF(I176&lt;='Characteristics&amp;Parameters'!$B$17,((1-'Characteristics&amp;Parameters'!$B$19)*ConcentrationsCalculations!F176+'Characteristics&amp;Parameters'!$B$19*ConcentrationsCalculations!F175-F176/86400*'Characteristics&amp;Parameters'!$B$11*'Characteristics&amp;Parameters'!$B$12),""))</f>
        <v/>
      </c>
    </row>
    <row r="177" spans="1:10" x14ac:dyDescent="0.5">
      <c r="A177" s="7" t="str">
        <f>IF(A176&lt;'Characteristics&amp;Parameters'!$B$17,ConcentrationsCalculations!A176+1,IF(A176="DS Node","",IF(A176="","","DS Node")))</f>
        <v/>
      </c>
      <c r="B177" s="8" t="str">
        <f>IF(A177&lt;='Characteristics&amp;Parameters'!$B$17,'Characteristics&amp;Parameters'!$B$7,IF(ConcentrationsCalculations!A177="DS Node",'Characteristics&amp;Parameters'!$B$8,""))</f>
        <v/>
      </c>
      <c r="C177" s="8"/>
      <c r="E177" s="7" t="s">
        <v>25</v>
      </c>
      <c r="F177" s="8" t="s">
        <v>25</v>
      </c>
      <c r="I177" s="7" t="str">
        <f>IF(I176&lt;'Characteristics&amp;Parameters'!$B$17,ConcentrationsCalculations!I176+1,IF(I176="DS Node","",IF(I176="","","DS Node")))</f>
        <v/>
      </c>
      <c r="J177" s="13" t="str">
        <f>IF(I177="DS Node",'Characteristics&amp;Parameters'!$B$8,IF(I177&lt;='Characteristics&amp;Parameters'!$B$17,((1-'Characteristics&amp;Parameters'!$B$19)*ConcentrationsCalculations!F177+'Characteristics&amp;Parameters'!$B$19*ConcentrationsCalculations!F176-F177/86400*'Characteristics&amp;Parameters'!$B$11*'Characteristics&amp;Parameters'!$B$12),""))</f>
        <v/>
      </c>
    </row>
    <row r="178" spans="1:10" x14ac:dyDescent="0.5">
      <c r="A178" s="7" t="str">
        <f>IF(A177&lt;'Characteristics&amp;Parameters'!$B$17,ConcentrationsCalculations!A177+1,IF(A177="DS Node","",IF(A177="","","DS Node")))</f>
        <v/>
      </c>
      <c r="B178" s="8" t="str">
        <f>IF(A178&lt;='Characteristics&amp;Parameters'!$B$17,'Characteristics&amp;Parameters'!$B$7,IF(ConcentrationsCalculations!A178="DS Node",'Characteristics&amp;Parameters'!$B$8,""))</f>
        <v/>
      </c>
      <c r="C178" s="8"/>
      <c r="E178" s="7" t="s">
        <v>25</v>
      </c>
      <c r="F178" s="8" t="s">
        <v>25</v>
      </c>
      <c r="I178" s="7" t="str">
        <f>IF(I177&lt;'Characteristics&amp;Parameters'!$B$17,ConcentrationsCalculations!I177+1,IF(I177="DS Node","",IF(I177="","","DS Node")))</f>
        <v/>
      </c>
      <c r="J178" s="13" t="str">
        <f>IF(I178="DS Node",'Characteristics&amp;Parameters'!$B$8,IF(I178&lt;='Characteristics&amp;Parameters'!$B$17,((1-'Characteristics&amp;Parameters'!$B$19)*ConcentrationsCalculations!F178+'Characteristics&amp;Parameters'!$B$19*ConcentrationsCalculations!F177-F178/86400*'Characteristics&amp;Parameters'!$B$11*'Characteristics&amp;Parameters'!$B$12),""))</f>
        <v/>
      </c>
    </row>
    <row r="179" spans="1:10" x14ac:dyDescent="0.5">
      <c r="A179" s="7" t="str">
        <f>IF(A178&lt;'Characteristics&amp;Parameters'!$B$17,ConcentrationsCalculations!A178+1,IF(A178="DS Node","",IF(A178="","","DS Node")))</f>
        <v/>
      </c>
      <c r="B179" s="8" t="str">
        <f>IF(A179&lt;='Characteristics&amp;Parameters'!$B$17,'Characteristics&amp;Parameters'!$B$7,IF(ConcentrationsCalculations!A179="DS Node",'Characteristics&amp;Parameters'!$B$8,""))</f>
        <v/>
      </c>
      <c r="C179" s="8"/>
      <c r="E179" s="7" t="s">
        <v>25</v>
      </c>
      <c r="F179" s="8" t="s">
        <v>25</v>
      </c>
      <c r="I179" s="7" t="str">
        <f>IF(I178&lt;'Characteristics&amp;Parameters'!$B$17,ConcentrationsCalculations!I178+1,IF(I178="DS Node","",IF(I178="","","DS Node")))</f>
        <v/>
      </c>
      <c r="J179" s="13" t="str">
        <f>IF(I179="DS Node",'Characteristics&amp;Parameters'!$B$8,IF(I179&lt;='Characteristics&amp;Parameters'!$B$17,((1-'Characteristics&amp;Parameters'!$B$19)*ConcentrationsCalculations!F179+'Characteristics&amp;Parameters'!$B$19*ConcentrationsCalculations!F178-F179/86400*'Characteristics&amp;Parameters'!$B$11*'Characteristics&amp;Parameters'!$B$12),""))</f>
        <v/>
      </c>
    </row>
    <row r="180" spans="1:10" x14ac:dyDescent="0.5">
      <c r="A180" s="7" t="str">
        <f>IF(A179&lt;'Characteristics&amp;Parameters'!$B$17,ConcentrationsCalculations!A179+1,IF(A179="DS Node","",IF(A179="","","DS Node")))</f>
        <v/>
      </c>
      <c r="B180" s="8" t="str">
        <f>IF(A180&lt;='Characteristics&amp;Parameters'!$B$17,'Characteristics&amp;Parameters'!$B$7,IF(ConcentrationsCalculations!A180="DS Node",'Characteristics&amp;Parameters'!$B$8,""))</f>
        <v/>
      </c>
      <c r="C180" s="8"/>
      <c r="E180" s="7" t="s">
        <v>25</v>
      </c>
      <c r="F180" s="8" t="s">
        <v>25</v>
      </c>
      <c r="I180" s="7" t="str">
        <f>IF(I179&lt;'Characteristics&amp;Parameters'!$B$17,ConcentrationsCalculations!I179+1,IF(I179="DS Node","",IF(I179="","","DS Node")))</f>
        <v/>
      </c>
      <c r="J180" s="13" t="str">
        <f>IF(I180="DS Node",'Characteristics&amp;Parameters'!$B$8,IF(I180&lt;='Characteristics&amp;Parameters'!$B$17,((1-'Characteristics&amp;Parameters'!$B$19)*ConcentrationsCalculations!F180+'Characteristics&amp;Parameters'!$B$19*ConcentrationsCalculations!F179-F180/86400*'Characteristics&amp;Parameters'!$B$11*'Characteristics&amp;Parameters'!$B$12),""))</f>
        <v/>
      </c>
    </row>
    <row r="181" spans="1:10" x14ac:dyDescent="0.5">
      <c r="A181" s="7" t="str">
        <f>IF(A180&lt;'Characteristics&amp;Parameters'!$B$17,ConcentrationsCalculations!A180+1,IF(A180="DS Node","",IF(A180="","","DS Node")))</f>
        <v/>
      </c>
      <c r="B181" s="8" t="str">
        <f>IF(A181&lt;='Characteristics&amp;Parameters'!$B$17,'Characteristics&amp;Parameters'!$B$7,IF(ConcentrationsCalculations!A181="DS Node",'Characteristics&amp;Parameters'!$B$8,""))</f>
        <v/>
      </c>
      <c r="C181" s="8"/>
      <c r="E181" s="7" t="s">
        <v>25</v>
      </c>
      <c r="F181" s="8" t="s">
        <v>25</v>
      </c>
      <c r="I181" s="7" t="str">
        <f>IF(I180&lt;'Characteristics&amp;Parameters'!$B$17,ConcentrationsCalculations!I180+1,IF(I180="DS Node","",IF(I180="","","DS Node")))</f>
        <v/>
      </c>
      <c r="J181" s="13" t="str">
        <f>IF(I181="DS Node",'Characteristics&amp;Parameters'!$B$8,IF(I181&lt;='Characteristics&amp;Parameters'!$B$17,((1-'Characteristics&amp;Parameters'!$B$19)*ConcentrationsCalculations!F181+'Characteristics&amp;Parameters'!$B$19*ConcentrationsCalculations!F180-F181/86400*'Characteristics&amp;Parameters'!$B$11*'Characteristics&amp;Parameters'!$B$12),""))</f>
        <v/>
      </c>
    </row>
    <row r="182" spans="1:10" x14ac:dyDescent="0.5">
      <c r="A182" s="7" t="str">
        <f>IF(A181&lt;'Characteristics&amp;Parameters'!$B$17,ConcentrationsCalculations!A181+1,IF(A181="DS Node","",IF(A181="","","DS Node")))</f>
        <v/>
      </c>
      <c r="B182" s="8" t="str">
        <f>IF(A182&lt;='Characteristics&amp;Parameters'!$B$17,'Characteristics&amp;Parameters'!$B$7,IF(ConcentrationsCalculations!A182="DS Node",'Characteristics&amp;Parameters'!$B$8,""))</f>
        <v/>
      </c>
      <c r="C182" s="8"/>
      <c r="E182" s="7" t="s">
        <v>25</v>
      </c>
      <c r="F182" s="8" t="s">
        <v>25</v>
      </c>
      <c r="I182" s="7" t="str">
        <f>IF(I181&lt;'Characteristics&amp;Parameters'!$B$17,ConcentrationsCalculations!I181+1,IF(I181="DS Node","",IF(I181="","","DS Node")))</f>
        <v/>
      </c>
      <c r="J182" s="13" t="str">
        <f>IF(I182="DS Node",'Characteristics&amp;Parameters'!$B$8,IF(I182&lt;='Characteristics&amp;Parameters'!$B$17,((1-'Characteristics&amp;Parameters'!$B$19)*ConcentrationsCalculations!F182+'Characteristics&amp;Parameters'!$B$19*ConcentrationsCalculations!F181-F182/86400*'Characteristics&amp;Parameters'!$B$11*'Characteristics&amp;Parameters'!$B$12),""))</f>
        <v/>
      </c>
    </row>
    <row r="183" spans="1:10" x14ac:dyDescent="0.5">
      <c r="A183" s="7" t="str">
        <f>IF(A182&lt;'Characteristics&amp;Parameters'!$B$17,ConcentrationsCalculations!A182+1,IF(A182="DS Node","",IF(A182="","","DS Node")))</f>
        <v/>
      </c>
      <c r="B183" s="8" t="str">
        <f>IF(A183&lt;='Characteristics&amp;Parameters'!$B$17,'Characteristics&amp;Parameters'!$B$7,IF(ConcentrationsCalculations!A183="DS Node",'Characteristics&amp;Parameters'!$B$8,""))</f>
        <v/>
      </c>
      <c r="C183" s="8"/>
      <c r="E183" s="7" t="s">
        <v>25</v>
      </c>
      <c r="F183" s="8" t="s">
        <v>25</v>
      </c>
      <c r="I183" s="7" t="str">
        <f>IF(I182&lt;'Characteristics&amp;Parameters'!$B$17,ConcentrationsCalculations!I182+1,IF(I182="DS Node","",IF(I182="","","DS Node")))</f>
        <v/>
      </c>
      <c r="J183" s="13" t="str">
        <f>IF(I183="DS Node",'Characteristics&amp;Parameters'!$B$8,IF(I183&lt;='Characteristics&amp;Parameters'!$B$17,((1-'Characteristics&amp;Parameters'!$B$19)*ConcentrationsCalculations!F183+'Characteristics&amp;Parameters'!$B$19*ConcentrationsCalculations!F182-F183/86400*'Characteristics&amp;Parameters'!$B$11*'Characteristics&amp;Parameters'!$B$12),""))</f>
        <v/>
      </c>
    </row>
    <row r="184" spans="1:10" x14ac:dyDescent="0.5">
      <c r="A184" s="7" t="str">
        <f>IF(A183&lt;'Characteristics&amp;Parameters'!$B$17,ConcentrationsCalculations!A183+1,IF(A183="DS Node","",IF(A183="","","DS Node")))</f>
        <v/>
      </c>
      <c r="B184" s="8" t="str">
        <f>IF(A184&lt;='Characteristics&amp;Parameters'!$B$17,'Characteristics&amp;Parameters'!$B$7,IF(ConcentrationsCalculations!A184="DS Node",'Characteristics&amp;Parameters'!$B$8,""))</f>
        <v/>
      </c>
      <c r="C184" s="8"/>
      <c r="E184" s="7" t="s">
        <v>25</v>
      </c>
      <c r="F184" s="8" t="s">
        <v>25</v>
      </c>
      <c r="I184" s="7" t="str">
        <f>IF(I183&lt;'Characteristics&amp;Parameters'!$B$17,ConcentrationsCalculations!I183+1,IF(I183="DS Node","",IF(I183="","","DS Node")))</f>
        <v/>
      </c>
      <c r="J184" s="13" t="str">
        <f>IF(I184="DS Node",'Characteristics&amp;Parameters'!$B$8,IF(I184&lt;='Characteristics&amp;Parameters'!$B$17,((1-'Characteristics&amp;Parameters'!$B$19)*ConcentrationsCalculations!F184+'Characteristics&amp;Parameters'!$B$19*ConcentrationsCalculations!F183-F184/86400*'Characteristics&amp;Parameters'!$B$11*'Characteristics&amp;Parameters'!$B$12),""))</f>
        <v/>
      </c>
    </row>
    <row r="185" spans="1:10" x14ac:dyDescent="0.5">
      <c r="A185" s="7" t="str">
        <f>IF(A184&lt;'Characteristics&amp;Parameters'!$B$17,ConcentrationsCalculations!A184+1,IF(A184="DS Node","",IF(A184="","","DS Node")))</f>
        <v/>
      </c>
      <c r="B185" s="8" t="str">
        <f>IF(A185&lt;='Characteristics&amp;Parameters'!$B$17,'Characteristics&amp;Parameters'!$B$7,IF(ConcentrationsCalculations!A185="DS Node",'Characteristics&amp;Parameters'!$B$8,""))</f>
        <v/>
      </c>
      <c r="C185" s="8"/>
      <c r="E185" s="7" t="s">
        <v>25</v>
      </c>
      <c r="F185" s="8" t="s">
        <v>25</v>
      </c>
      <c r="I185" s="7" t="str">
        <f>IF(I184&lt;'Characteristics&amp;Parameters'!$B$17,ConcentrationsCalculations!I184+1,IF(I184="DS Node","",IF(I184="","","DS Node")))</f>
        <v/>
      </c>
      <c r="J185" s="13" t="str">
        <f>IF(I185="DS Node",'Characteristics&amp;Parameters'!$B$8,IF(I185&lt;='Characteristics&amp;Parameters'!$B$17,((1-'Characteristics&amp;Parameters'!$B$19)*ConcentrationsCalculations!F185+'Characteristics&amp;Parameters'!$B$19*ConcentrationsCalculations!F184-F185/86400*'Characteristics&amp;Parameters'!$B$11*'Characteristics&amp;Parameters'!$B$12),""))</f>
        <v/>
      </c>
    </row>
    <row r="186" spans="1:10" x14ac:dyDescent="0.5">
      <c r="A186" s="7" t="str">
        <f>IF(A185&lt;'Characteristics&amp;Parameters'!$B$17,ConcentrationsCalculations!A185+1,IF(A185="DS Node","",IF(A185="","","DS Node")))</f>
        <v/>
      </c>
      <c r="B186" s="8" t="str">
        <f>IF(A186&lt;='Characteristics&amp;Parameters'!$B$17,'Characteristics&amp;Parameters'!$B$7,IF(ConcentrationsCalculations!A186="DS Node",'Characteristics&amp;Parameters'!$B$8,""))</f>
        <v/>
      </c>
      <c r="C186" s="8"/>
      <c r="E186" s="7" t="s">
        <v>25</v>
      </c>
      <c r="F186" s="8" t="s">
        <v>25</v>
      </c>
      <c r="I186" s="7" t="str">
        <f>IF(I185&lt;'Characteristics&amp;Parameters'!$B$17,ConcentrationsCalculations!I185+1,IF(I185="DS Node","",IF(I185="","","DS Node")))</f>
        <v/>
      </c>
      <c r="J186" s="13" t="str">
        <f>IF(I186="DS Node",'Characteristics&amp;Parameters'!$B$8,IF(I186&lt;='Characteristics&amp;Parameters'!$B$17,((1-'Characteristics&amp;Parameters'!$B$19)*ConcentrationsCalculations!F186+'Characteristics&amp;Parameters'!$B$19*ConcentrationsCalculations!F185-F186/86400*'Characteristics&amp;Parameters'!$B$11*'Characteristics&amp;Parameters'!$B$12),""))</f>
        <v/>
      </c>
    </row>
    <row r="187" spans="1:10" x14ac:dyDescent="0.5">
      <c r="A187" s="7" t="str">
        <f>IF(A186&lt;'Characteristics&amp;Parameters'!$B$17,ConcentrationsCalculations!A186+1,IF(A186="DS Node","",IF(A186="","","DS Node")))</f>
        <v/>
      </c>
      <c r="B187" s="8" t="str">
        <f>IF(A187&lt;='Characteristics&amp;Parameters'!$B$17,'Characteristics&amp;Parameters'!$B$7,IF(ConcentrationsCalculations!A187="DS Node",'Characteristics&amp;Parameters'!$B$8,""))</f>
        <v/>
      </c>
      <c r="C187" s="8"/>
      <c r="E187" s="7" t="s">
        <v>25</v>
      </c>
      <c r="F187" s="8" t="s">
        <v>25</v>
      </c>
      <c r="I187" s="7" t="str">
        <f>IF(I186&lt;'Characteristics&amp;Parameters'!$B$17,ConcentrationsCalculations!I186+1,IF(I186="DS Node","",IF(I186="","","DS Node")))</f>
        <v/>
      </c>
      <c r="J187" s="13" t="str">
        <f>IF(I187="DS Node",'Characteristics&amp;Parameters'!$B$8,IF(I187&lt;='Characteristics&amp;Parameters'!$B$17,((1-'Characteristics&amp;Parameters'!$B$19)*ConcentrationsCalculations!F187+'Characteristics&amp;Parameters'!$B$19*ConcentrationsCalculations!F186-F187/86400*'Characteristics&amp;Parameters'!$B$11*'Characteristics&amp;Parameters'!$B$12),""))</f>
        <v/>
      </c>
    </row>
    <row r="188" spans="1:10" x14ac:dyDescent="0.5">
      <c r="A188" s="7" t="str">
        <f>IF(A187&lt;'Characteristics&amp;Parameters'!$B$17,ConcentrationsCalculations!A187+1,IF(A187="DS Node","",IF(A187="","","DS Node")))</f>
        <v/>
      </c>
      <c r="B188" s="8" t="str">
        <f>IF(A188&lt;='Characteristics&amp;Parameters'!$B$17,'Characteristics&amp;Parameters'!$B$7,IF(ConcentrationsCalculations!A188="DS Node",'Characteristics&amp;Parameters'!$B$8,""))</f>
        <v/>
      </c>
      <c r="C188" s="8"/>
      <c r="E188" s="7" t="s">
        <v>25</v>
      </c>
      <c r="F188" s="8" t="s">
        <v>25</v>
      </c>
      <c r="I188" s="7" t="str">
        <f>IF(I187&lt;'Characteristics&amp;Parameters'!$B$17,ConcentrationsCalculations!I187+1,IF(I187="DS Node","",IF(I187="","","DS Node")))</f>
        <v/>
      </c>
      <c r="J188" s="13" t="str">
        <f>IF(I188="DS Node",'Characteristics&amp;Parameters'!$B$8,IF(I188&lt;='Characteristics&amp;Parameters'!$B$17,((1-'Characteristics&amp;Parameters'!$B$19)*ConcentrationsCalculations!F188+'Characteristics&amp;Parameters'!$B$19*ConcentrationsCalculations!F187-F188/86400*'Characteristics&amp;Parameters'!$B$11*'Characteristics&amp;Parameters'!$B$12),""))</f>
        <v/>
      </c>
    </row>
    <row r="189" spans="1:10" x14ac:dyDescent="0.5">
      <c r="A189" s="7" t="str">
        <f>IF(A188&lt;'Characteristics&amp;Parameters'!$B$17,ConcentrationsCalculations!A188+1,IF(A188="DS Node","",IF(A188="","","DS Node")))</f>
        <v/>
      </c>
      <c r="B189" s="8" t="str">
        <f>IF(A189&lt;='Characteristics&amp;Parameters'!$B$17,'Characteristics&amp;Parameters'!$B$7,IF(ConcentrationsCalculations!A189="DS Node",'Characteristics&amp;Parameters'!$B$8,""))</f>
        <v/>
      </c>
      <c r="C189" s="8"/>
      <c r="E189" s="7" t="s">
        <v>25</v>
      </c>
      <c r="F189" s="8" t="s">
        <v>25</v>
      </c>
      <c r="I189" s="7" t="str">
        <f>IF(I188&lt;'Characteristics&amp;Parameters'!$B$17,ConcentrationsCalculations!I188+1,IF(I188="DS Node","",IF(I188="","","DS Node")))</f>
        <v/>
      </c>
      <c r="J189" s="13" t="str">
        <f>IF(I189="DS Node",'Characteristics&amp;Parameters'!$B$8,IF(I189&lt;='Characteristics&amp;Parameters'!$B$17,((1-'Characteristics&amp;Parameters'!$B$19)*ConcentrationsCalculations!F189+'Characteristics&amp;Parameters'!$B$19*ConcentrationsCalculations!F188-F189/86400*'Characteristics&amp;Parameters'!$B$11*'Characteristics&amp;Parameters'!$B$12),""))</f>
        <v/>
      </c>
    </row>
    <row r="190" spans="1:10" x14ac:dyDescent="0.5">
      <c r="A190" s="7" t="str">
        <f>IF(A189&lt;'Characteristics&amp;Parameters'!$B$17,ConcentrationsCalculations!A189+1,IF(A189="DS Node","",IF(A189="","","DS Node")))</f>
        <v/>
      </c>
      <c r="B190" s="8" t="str">
        <f>IF(A190&lt;='Characteristics&amp;Parameters'!$B$17,'Characteristics&amp;Parameters'!$B$7,IF(ConcentrationsCalculations!A190="DS Node",'Characteristics&amp;Parameters'!$B$8,""))</f>
        <v/>
      </c>
      <c r="C190" s="8"/>
      <c r="E190" s="7" t="s">
        <v>25</v>
      </c>
      <c r="F190" s="8" t="s">
        <v>25</v>
      </c>
      <c r="I190" s="7" t="str">
        <f>IF(I189&lt;'Characteristics&amp;Parameters'!$B$17,ConcentrationsCalculations!I189+1,IF(I189="DS Node","",IF(I189="","","DS Node")))</f>
        <v/>
      </c>
      <c r="J190" s="13" t="str">
        <f>IF(I190="DS Node",'Characteristics&amp;Parameters'!$B$8,IF(I190&lt;='Characteristics&amp;Parameters'!$B$17,((1-'Characteristics&amp;Parameters'!$B$19)*ConcentrationsCalculations!F190+'Characteristics&amp;Parameters'!$B$19*ConcentrationsCalculations!F189-F190/86400*'Characteristics&amp;Parameters'!$B$11*'Characteristics&amp;Parameters'!$B$12),""))</f>
        <v/>
      </c>
    </row>
    <row r="191" spans="1:10" x14ac:dyDescent="0.5">
      <c r="A191" s="7" t="str">
        <f>IF(A190&lt;'Characteristics&amp;Parameters'!$B$17,ConcentrationsCalculations!A190+1,IF(A190="DS Node","",IF(A190="","","DS Node")))</f>
        <v/>
      </c>
      <c r="B191" s="8" t="str">
        <f>IF(A191&lt;='Characteristics&amp;Parameters'!$B$17,'Characteristics&amp;Parameters'!$B$7,IF(ConcentrationsCalculations!A191="DS Node",'Characteristics&amp;Parameters'!$B$8,""))</f>
        <v/>
      </c>
      <c r="C191" s="8"/>
      <c r="E191" s="7" t="s">
        <v>25</v>
      </c>
      <c r="F191" s="8" t="s">
        <v>25</v>
      </c>
      <c r="I191" s="7" t="str">
        <f>IF(I190&lt;'Characteristics&amp;Parameters'!$B$17,ConcentrationsCalculations!I190+1,IF(I190="DS Node","",IF(I190="","","DS Node")))</f>
        <v/>
      </c>
      <c r="J191" s="13" t="str">
        <f>IF(I191="DS Node",'Characteristics&amp;Parameters'!$B$8,IF(I191&lt;='Characteristics&amp;Parameters'!$B$17,((1-'Characteristics&amp;Parameters'!$B$19)*ConcentrationsCalculations!F191+'Characteristics&amp;Parameters'!$B$19*ConcentrationsCalculations!F190-F191/86400*'Characteristics&amp;Parameters'!$B$11*'Characteristics&amp;Parameters'!$B$12),""))</f>
        <v/>
      </c>
    </row>
    <row r="192" spans="1:10" x14ac:dyDescent="0.5">
      <c r="A192" s="7" t="str">
        <f>IF(A191&lt;'Characteristics&amp;Parameters'!$B$17,ConcentrationsCalculations!A191+1,IF(A191="DS Node","",IF(A191="","","DS Node")))</f>
        <v/>
      </c>
      <c r="B192" s="8" t="str">
        <f>IF(A192&lt;='Characteristics&amp;Parameters'!$B$17,'Characteristics&amp;Parameters'!$B$7,IF(ConcentrationsCalculations!A192="DS Node",'Characteristics&amp;Parameters'!$B$8,""))</f>
        <v/>
      </c>
      <c r="C192" s="8"/>
      <c r="E192" s="7" t="s">
        <v>25</v>
      </c>
      <c r="F192" s="8" t="s">
        <v>25</v>
      </c>
      <c r="I192" s="7" t="str">
        <f>IF(I191&lt;'Characteristics&amp;Parameters'!$B$17,ConcentrationsCalculations!I191+1,IF(I191="DS Node","",IF(I191="","","DS Node")))</f>
        <v/>
      </c>
      <c r="J192" s="13" t="str">
        <f>IF(I192="DS Node",'Characteristics&amp;Parameters'!$B$8,IF(I192&lt;='Characteristics&amp;Parameters'!$B$17,((1-'Characteristics&amp;Parameters'!$B$19)*ConcentrationsCalculations!F192+'Characteristics&amp;Parameters'!$B$19*ConcentrationsCalculations!F191-F192/86400*'Characteristics&amp;Parameters'!$B$11*'Characteristics&amp;Parameters'!$B$12),""))</f>
        <v/>
      </c>
    </row>
    <row r="193" spans="1:10" x14ac:dyDescent="0.5">
      <c r="A193" s="7" t="str">
        <f>IF(A192&lt;'Characteristics&amp;Parameters'!$B$17,ConcentrationsCalculations!A192+1,IF(A192="DS Node","",IF(A192="","","DS Node")))</f>
        <v/>
      </c>
      <c r="B193" s="8" t="str">
        <f>IF(A193&lt;='Characteristics&amp;Parameters'!$B$17,'Characteristics&amp;Parameters'!$B$7,IF(ConcentrationsCalculations!A193="DS Node",'Characteristics&amp;Parameters'!$B$8,""))</f>
        <v/>
      </c>
      <c r="C193" s="8"/>
      <c r="E193" s="7" t="s">
        <v>25</v>
      </c>
      <c r="F193" s="8" t="s">
        <v>25</v>
      </c>
      <c r="I193" s="7" t="str">
        <f>IF(I192&lt;'Characteristics&amp;Parameters'!$B$17,ConcentrationsCalculations!I192+1,IF(I192="DS Node","",IF(I192="","","DS Node")))</f>
        <v/>
      </c>
      <c r="J193" s="13" t="str">
        <f>IF(I193="DS Node",'Characteristics&amp;Parameters'!$B$8,IF(I193&lt;='Characteristics&amp;Parameters'!$B$17,((1-'Characteristics&amp;Parameters'!$B$19)*ConcentrationsCalculations!F193+'Characteristics&amp;Parameters'!$B$19*ConcentrationsCalculations!F192-F193/86400*'Characteristics&amp;Parameters'!$B$11*'Characteristics&amp;Parameters'!$B$12),""))</f>
        <v/>
      </c>
    </row>
    <row r="194" spans="1:10" x14ac:dyDescent="0.5">
      <c r="A194" s="7" t="str">
        <f>IF(A193&lt;'Characteristics&amp;Parameters'!$B$17,ConcentrationsCalculations!A193+1,IF(A193="DS Node","",IF(A193="","","DS Node")))</f>
        <v/>
      </c>
      <c r="B194" s="8" t="str">
        <f>IF(A194&lt;='Characteristics&amp;Parameters'!$B$17,'Characteristics&amp;Parameters'!$B$7,IF(ConcentrationsCalculations!A194="DS Node",'Characteristics&amp;Parameters'!$B$8,""))</f>
        <v/>
      </c>
      <c r="C194" s="8"/>
      <c r="E194" s="7" t="s">
        <v>25</v>
      </c>
      <c r="F194" s="8" t="s">
        <v>25</v>
      </c>
      <c r="I194" s="7" t="str">
        <f>IF(I193&lt;'Characteristics&amp;Parameters'!$B$17,ConcentrationsCalculations!I193+1,IF(I193="DS Node","",IF(I193="","","DS Node")))</f>
        <v/>
      </c>
      <c r="J194" s="13" t="str">
        <f>IF(I194="DS Node",'Characteristics&amp;Parameters'!$B$8,IF(I194&lt;='Characteristics&amp;Parameters'!$B$17,((1-'Characteristics&amp;Parameters'!$B$19)*ConcentrationsCalculations!F194+'Characteristics&amp;Parameters'!$B$19*ConcentrationsCalculations!F193-F194/86400*'Characteristics&amp;Parameters'!$B$11*'Characteristics&amp;Parameters'!$B$12),""))</f>
        <v/>
      </c>
    </row>
    <row r="195" spans="1:10" x14ac:dyDescent="0.5">
      <c r="A195" s="7" t="str">
        <f>IF(A194&lt;'Characteristics&amp;Parameters'!$B$17,ConcentrationsCalculations!A194+1,IF(A194="DS Node","",IF(A194="","","DS Node")))</f>
        <v/>
      </c>
      <c r="B195" s="8" t="str">
        <f>IF(A195&lt;='Characteristics&amp;Parameters'!$B$17,'Characteristics&amp;Parameters'!$B$7,IF(ConcentrationsCalculations!A195="DS Node",'Characteristics&amp;Parameters'!$B$8,""))</f>
        <v/>
      </c>
      <c r="C195" s="8"/>
      <c r="E195" s="7" t="s">
        <v>25</v>
      </c>
      <c r="F195" s="8" t="s">
        <v>25</v>
      </c>
      <c r="I195" s="7" t="str">
        <f>IF(I194&lt;'Characteristics&amp;Parameters'!$B$17,ConcentrationsCalculations!I194+1,IF(I194="DS Node","",IF(I194="","","DS Node")))</f>
        <v/>
      </c>
      <c r="J195" s="13" t="str">
        <f>IF(I195="DS Node",'Characteristics&amp;Parameters'!$B$8,IF(I195&lt;='Characteristics&amp;Parameters'!$B$17,((1-'Characteristics&amp;Parameters'!$B$19)*ConcentrationsCalculations!F195+'Characteristics&amp;Parameters'!$B$19*ConcentrationsCalculations!F194-F195/86400*'Characteristics&amp;Parameters'!$B$11*'Characteristics&amp;Parameters'!$B$12),""))</f>
        <v/>
      </c>
    </row>
    <row r="196" spans="1:10" x14ac:dyDescent="0.5">
      <c r="A196" s="7" t="str">
        <f>IF(A195&lt;'Characteristics&amp;Parameters'!$B$17,ConcentrationsCalculations!A195+1,IF(A195="DS Node","",IF(A195="","","DS Node")))</f>
        <v/>
      </c>
      <c r="B196" s="8" t="str">
        <f>IF(A196&lt;='Characteristics&amp;Parameters'!$B$17,'Characteristics&amp;Parameters'!$B$7,IF(ConcentrationsCalculations!A196="DS Node",'Characteristics&amp;Parameters'!$B$8,""))</f>
        <v/>
      </c>
      <c r="C196" s="8"/>
      <c r="E196" s="7" t="s">
        <v>25</v>
      </c>
      <c r="F196" s="8" t="s">
        <v>25</v>
      </c>
      <c r="I196" s="7" t="str">
        <f>IF(I195&lt;'Characteristics&amp;Parameters'!$B$17,ConcentrationsCalculations!I195+1,IF(I195="DS Node","",IF(I195="","","DS Node")))</f>
        <v/>
      </c>
      <c r="J196" s="13" t="str">
        <f>IF(I196="DS Node",'Characteristics&amp;Parameters'!$B$8,IF(I196&lt;='Characteristics&amp;Parameters'!$B$17,((1-'Characteristics&amp;Parameters'!$B$19)*ConcentrationsCalculations!F196+'Characteristics&amp;Parameters'!$B$19*ConcentrationsCalculations!F195-F196/86400*'Characteristics&amp;Parameters'!$B$11*'Characteristics&amp;Parameters'!$B$12),""))</f>
        <v/>
      </c>
    </row>
    <row r="197" spans="1:10" x14ac:dyDescent="0.5">
      <c r="A197" s="7" t="str">
        <f>IF(A196&lt;'Characteristics&amp;Parameters'!$B$17,ConcentrationsCalculations!A196+1,IF(A196="DS Node","",IF(A196="","","DS Node")))</f>
        <v/>
      </c>
      <c r="B197" s="8" t="str">
        <f>IF(A197&lt;='Characteristics&amp;Parameters'!$B$17,'Characteristics&amp;Parameters'!$B$7,IF(ConcentrationsCalculations!A197="DS Node",'Characteristics&amp;Parameters'!$B$8,""))</f>
        <v/>
      </c>
      <c r="C197" s="8"/>
      <c r="E197" s="7" t="s">
        <v>25</v>
      </c>
      <c r="F197" s="8" t="s">
        <v>25</v>
      </c>
      <c r="I197" s="7" t="str">
        <f>IF(I196&lt;'Characteristics&amp;Parameters'!$B$17,ConcentrationsCalculations!I196+1,IF(I196="DS Node","",IF(I196="","","DS Node")))</f>
        <v/>
      </c>
      <c r="J197" s="13" t="str">
        <f>IF(I197="DS Node",'Characteristics&amp;Parameters'!$B$8,IF(I197&lt;='Characteristics&amp;Parameters'!$B$17,((1-'Characteristics&amp;Parameters'!$B$19)*ConcentrationsCalculations!F197+'Characteristics&amp;Parameters'!$B$19*ConcentrationsCalculations!F196-F197/86400*'Characteristics&amp;Parameters'!$B$11*'Characteristics&amp;Parameters'!$B$12),""))</f>
        <v/>
      </c>
    </row>
    <row r="198" spans="1:10" x14ac:dyDescent="0.5">
      <c r="A198" s="7" t="str">
        <f>IF(A197&lt;'Characteristics&amp;Parameters'!$B$17,ConcentrationsCalculations!A197+1,IF(A197="DS Node","",IF(A197="","","DS Node")))</f>
        <v/>
      </c>
      <c r="B198" s="8" t="str">
        <f>IF(A198&lt;='Characteristics&amp;Parameters'!$B$17,'Characteristics&amp;Parameters'!$B$7,IF(ConcentrationsCalculations!A198="DS Node",'Characteristics&amp;Parameters'!$B$8,""))</f>
        <v/>
      </c>
      <c r="C198" s="8"/>
      <c r="E198" s="7" t="s">
        <v>25</v>
      </c>
      <c r="F198" s="8" t="s">
        <v>25</v>
      </c>
      <c r="I198" s="7" t="str">
        <f>IF(I197&lt;'Characteristics&amp;Parameters'!$B$17,ConcentrationsCalculations!I197+1,IF(I197="DS Node","",IF(I197="","","DS Node")))</f>
        <v/>
      </c>
      <c r="J198" s="13" t="str">
        <f>IF(I198="DS Node",'Characteristics&amp;Parameters'!$B$8,IF(I198&lt;='Characteristics&amp;Parameters'!$B$17,((1-'Characteristics&amp;Parameters'!$B$19)*ConcentrationsCalculations!F198+'Characteristics&amp;Parameters'!$B$19*ConcentrationsCalculations!F197-F198/86400*'Characteristics&amp;Parameters'!$B$11*'Characteristics&amp;Parameters'!$B$12),""))</f>
        <v/>
      </c>
    </row>
    <row r="199" spans="1:10" x14ac:dyDescent="0.5">
      <c r="A199" s="7" t="str">
        <f>IF(A198&lt;'Characteristics&amp;Parameters'!$B$17,ConcentrationsCalculations!A198+1,IF(A198="DS Node","",IF(A198="","","DS Node")))</f>
        <v/>
      </c>
      <c r="B199" s="8" t="str">
        <f>IF(A199&lt;='Characteristics&amp;Parameters'!$B$17,'Characteristics&amp;Parameters'!$B$7,IF(ConcentrationsCalculations!A199="DS Node",'Characteristics&amp;Parameters'!$B$8,""))</f>
        <v/>
      </c>
      <c r="C199" s="8"/>
      <c r="E199" s="7" t="s">
        <v>25</v>
      </c>
      <c r="F199" s="8" t="s">
        <v>25</v>
      </c>
      <c r="I199" s="7" t="str">
        <f>IF(I198&lt;'Characteristics&amp;Parameters'!$B$17,ConcentrationsCalculations!I198+1,IF(I198="DS Node","",IF(I198="","","DS Node")))</f>
        <v/>
      </c>
      <c r="J199" s="13" t="str">
        <f>IF(I199="DS Node",'Characteristics&amp;Parameters'!$B$8,IF(I199&lt;='Characteristics&amp;Parameters'!$B$17,((1-'Characteristics&amp;Parameters'!$B$19)*ConcentrationsCalculations!F199+'Characteristics&amp;Parameters'!$B$19*ConcentrationsCalculations!F198-F199/86400*'Characteristics&amp;Parameters'!$B$11*'Characteristics&amp;Parameters'!$B$12),""))</f>
        <v/>
      </c>
    </row>
    <row r="200" spans="1:10" x14ac:dyDescent="0.5">
      <c r="A200" s="7" t="str">
        <f>IF(A199&lt;'Characteristics&amp;Parameters'!$B$17,ConcentrationsCalculations!A199+1,IF(A199="DS Node","",IF(A199="","","DS Node")))</f>
        <v/>
      </c>
      <c r="B200" s="8" t="str">
        <f>IF(A200&lt;='Characteristics&amp;Parameters'!$B$17,'Characteristics&amp;Parameters'!$B$7,IF(ConcentrationsCalculations!A200="DS Node",'Characteristics&amp;Parameters'!$B$8,""))</f>
        <v/>
      </c>
      <c r="C200" s="8"/>
      <c r="E200" s="7" t="s">
        <v>25</v>
      </c>
      <c r="F200" s="8" t="s">
        <v>25</v>
      </c>
      <c r="I200" s="7" t="str">
        <f>IF(I199&lt;'Characteristics&amp;Parameters'!$B$17,ConcentrationsCalculations!I199+1,IF(I199="DS Node","",IF(I199="","","DS Node")))</f>
        <v/>
      </c>
      <c r="J200" s="13" t="str">
        <f>IF(I200="DS Node",'Characteristics&amp;Parameters'!$B$8,IF(I200&lt;='Characteristics&amp;Parameters'!$B$17,((1-'Characteristics&amp;Parameters'!$B$19)*ConcentrationsCalculations!F200+'Characteristics&amp;Parameters'!$B$19*ConcentrationsCalculations!F199-F200/86400*'Characteristics&amp;Parameters'!$B$11*'Characteristics&amp;Parameters'!$B$12),""))</f>
        <v/>
      </c>
    </row>
    <row r="201" spans="1:10" x14ac:dyDescent="0.5">
      <c r="A201" s="7" t="str">
        <f>IF(A200&lt;'Characteristics&amp;Parameters'!$B$17,ConcentrationsCalculations!A200+1,IF(A200="DS Node","",IF(A200="","","DS Node")))</f>
        <v/>
      </c>
      <c r="B201" s="8" t="str">
        <f>IF(A201&lt;='Characteristics&amp;Parameters'!$B$17,'Characteristics&amp;Parameters'!$B$7,IF(ConcentrationsCalculations!A201="DS Node",'Characteristics&amp;Parameters'!$B$8,""))</f>
        <v/>
      </c>
      <c r="C201" s="8"/>
      <c r="E201" s="7" t="s">
        <v>25</v>
      </c>
      <c r="F201" s="8" t="s">
        <v>25</v>
      </c>
      <c r="I201" s="7" t="str">
        <f>IF(I200&lt;'Characteristics&amp;Parameters'!$B$17,ConcentrationsCalculations!I200+1,IF(I200="DS Node","",IF(I200="","","DS Node")))</f>
        <v/>
      </c>
      <c r="J201" s="13" t="str">
        <f>IF(I201="DS Node",'Characteristics&amp;Parameters'!$B$8,IF(I201&lt;='Characteristics&amp;Parameters'!$B$17,((1-'Characteristics&amp;Parameters'!$B$19)*ConcentrationsCalculations!F201+'Characteristics&amp;Parameters'!$B$19*ConcentrationsCalculations!F200-F201/86400*'Characteristics&amp;Parameters'!$B$11*'Characteristics&amp;Parameters'!$B$12),""))</f>
        <v/>
      </c>
    </row>
    <row r="202" spans="1:10" x14ac:dyDescent="0.5">
      <c r="A202" s="7" t="str">
        <f>IF(A201&lt;'Characteristics&amp;Parameters'!$B$17,ConcentrationsCalculations!A201+1,IF(A201="DS Node","",IF(A201="","","DS Node")))</f>
        <v/>
      </c>
      <c r="B202" s="8" t="str">
        <f>IF(A202&lt;='Characteristics&amp;Parameters'!$B$17,'Characteristics&amp;Parameters'!$B$7,IF(ConcentrationsCalculations!A202="DS Node",'Characteristics&amp;Parameters'!$B$8,""))</f>
        <v/>
      </c>
      <c r="C202" s="8"/>
      <c r="E202" s="7" t="s">
        <v>25</v>
      </c>
      <c r="F202" s="8" t="s">
        <v>25</v>
      </c>
      <c r="I202" s="7" t="str">
        <f>IF(I201&lt;'Characteristics&amp;Parameters'!$B$17,ConcentrationsCalculations!I201+1,IF(I201="DS Node","",IF(I201="","","DS Node")))</f>
        <v/>
      </c>
      <c r="J202" s="13" t="str">
        <f>IF(I202="DS Node",'Characteristics&amp;Parameters'!$B$8,IF(I202&lt;='Characteristics&amp;Parameters'!$B$17,((1-'Characteristics&amp;Parameters'!$B$19)*ConcentrationsCalculations!F202+'Characteristics&amp;Parameters'!$B$19*ConcentrationsCalculations!F201-F202/86400*'Characteristics&amp;Parameters'!$B$11*'Characteristics&amp;Parameters'!$B$12),""))</f>
        <v/>
      </c>
    </row>
    <row r="203" spans="1:10" x14ac:dyDescent="0.5">
      <c r="A203" s="7" t="str">
        <f>IF(A202&lt;'Characteristics&amp;Parameters'!$B$17,ConcentrationsCalculations!A202+1,IF(A202="DS Node","",IF(A202="","","DS Node")))</f>
        <v/>
      </c>
      <c r="B203" s="8" t="str">
        <f>IF(A203&lt;='Characteristics&amp;Parameters'!$B$17,'Characteristics&amp;Parameters'!$B$7,IF(ConcentrationsCalculations!A203="DS Node",'Characteristics&amp;Parameters'!$B$8,""))</f>
        <v/>
      </c>
      <c r="C203" s="8"/>
      <c r="E203" s="7" t="s">
        <v>25</v>
      </c>
      <c r="F203" s="8" t="s">
        <v>25</v>
      </c>
      <c r="I203" s="7" t="str">
        <f>IF(I202&lt;'Characteristics&amp;Parameters'!$B$17,ConcentrationsCalculations!I202+1,IF(I202="DS Node","",IF(I202="","","DS Node")))</f>
        <v/>
      </c>
      <c r="J203" s="13" t="str">
        <f>IF(I203="DS Node",'Characteristics&amp;Parameters'!$B$8,IF(I203&lt;='Characteristics&amp;Parameters'!$B$17,((1-'Characteristics&amp;Parameters'!$B$19)*ConcentrationsCalculations!F203+'Characteristics&amp;Parameters'!$B$19*ConcentrationsCalculations!F202-F203/86400*'Characteristics&amp;Parameters'!$B$11*'Characteristics&amp;Parameters'!$B$12),""))</f>
        <v/>
      </c>
    </row>
    <row r="204" spans="1:10" x14ac:dyDescent="0.5">
      <c r="A204" s="7" t="str">
        <f>IF(A203&lt;'Characteristics&amp;Parameters'!$B$17,ConcentrationsCalculations!A203+1,IF(A203="DS Node","",IF(A203="","","DS Node")))</f>
        <v/>
      </c>
      <c r="B204" s="8" t="str">
        <f>IF(A204&lt;='Characteristics&amp;Parameters'!$B$17,'Characteristics&amp;Parameters'!$B$7,IF(ConcentrationsCalculations!A204="DS Node",'Characteristics&amp;Parameters'!$B$8,""))</f>
        <v/>
      </c>
      <c r="C204" s="8"/>
      <c r="E204" s="7" t="s">
        <v>25</v>
      </c>
      <c r="F204" s="8" t="s">
        <v>25</v>
      </c>
      <c r="I204" s="7" t="str">
        <f>IF(I203&lt;'Characteristics&amp;Parameters'!$B$17,ConcentrationsCalculations!I203+1,IF(I203="DS Node","",IF(I203="","","DS Node")))</f>
        <v/>
      </c>
      <c r="J204" s="13" t="str">
        <f>IF(I204="DS Node",'Characteristics&amp;Parameters'!$B$8,IF(I204&lt;='Characteristics&amp;Parameters'!$B$17,((1-'Characteristics&amp;Parameters'!$B$19)*ConcentrationsCalculations!F204+'Characteristics&amp;Parameters'!$B$19*ConcentrationsCalculations!F203-F204/86400*'Characteristics&amp;Parameters'!$B$11*'Characteristics&amp;Parameters'!$B$12),""))</f>
        <v/>
      </c>
    </row>
    <row r="205" spans="1:10" x14ac:dyDescent="0.5">
      <c r="A205" s="7" t="str">
        <f>IF(A204&lt;'Characteristics&amp;Parameters'!$B$17,ConcentrationsCalculations!A204+1,IF(A204="DS Node","",IF(A204="","","DS Node")))</f>
        <v/>
      </c>
      <c r="B205" s="8" t="str">
        <f>IF(A205&lt;='Characteristics&amp;Parameters'!$B$17,'Characteristics&amp;Parameters'!$B$7,IF(ConcentrationsCalculations!A205="DS Node",'Characteristics&amp;Parameters'!$B$8,""))</f>
        <v/>
      </c>
      <c r="C205" s="8"/>
      <c r="E205" s="7" t="s">
        <v>25</v>
      </c>
      <c r="F205" s="8" t="s">
        <v>25</v>
      </c>
      <c r="I205" s="7" t="str">
        <f>IF(I204&lt;'Characteristics&amp;Parameters'!$B$17,ConcentrationsCalculations!I204+1,IF(I204="DS Node","",IF(I204="","","DS Node")))</f>
        <v/>
      </c>
      <c r="J205" s="13" t="str">
        <f>IF(I205="DS Node",'Characteristics&amp;Parameters'!$B$8,IF(I205&lt;='Characteristics&amp;Parameters'!$B$17,((1-'Characteristics&amp;Parameters'!$B$19)*ConcentrationsCalculations!F205+'Characteristics&amp;Parameters'!$B$19*ConcentrationsCalculations!F204-F205/86400*'Characteristics&amp;Parameters'!$B$11*'Characteristics&amp;Parameters'!$B$12),""))</f>
        <v/>
      </c>
    </row>
    <row r="206" spans="1:10" x14ac:dyDescent="0.5">
      <c r="A206" s="7" t="str">
        <f>IF(A205&lt;'Characteristics&amp;Parameters'!$B$17,ConcentrationsCalculations!A205+1,IF(A205="DS Node","",IF(A205="","","DS Node")))</f>
        <v/>
      </c>
      <c r="B206" s="8" t="str">
        <f>IF(A206&lt;='Characteristics&amp;Parameters'!$B$17,'Characteristics&amp;Parameters'!$B$7,IF(ConcentrationsCalculations!A206="DS Node",'Characteristics&amp;Parameters'!$B$8,""))</f>
        <v/>
      </c>
      <c r="C206" s="8"/>
      <c r="E206" s="7" t="s">
        <v>25</v>
      </c>
      <c r="F206" s="8" t="s">
        <v>25</v>
      </c>
      <c r="I206" s="7" t="str">
        <f>IF(I205&lt;'Characteristics&amp;Parameters'!$B$17,ConcentrationsCalculations!I205+1,IF(I205="DS Node","",IF(I205="","","DS Node")))</f>
        <v/>
      </c>
      <c r="J206" s="13" t="str">
        <f>IF(I206="DS Node",'Characteristics&amp;Parameters'!$B$8,IF(I206&lt;='Characteristics&amp;Parameters'!$B$17,((1-'Characteristics&amp;Parameters'!$B$19)*ConcentrationsCalculations!F206+'Characteristics&amp;Parameters'!$B$19*ConcentrationsCalculations!F205-F206/86400*'Characteristics&amp;Parameters'!$B$11*'Characteristics&amp;Parameters'!$B$12),""))</f>
        <v/>
      </c>
    </row>
    <row r="207" spans="1:10" x14ac:dyDescent="0.5">
      <c r="A207" s="7" t="str">
        <f>IF(A206&lt;'Characteristics&amp;Parameters'!$B$17,ConcentrationsCalculations!A206+1,IF(A206="DS Node","",IF(A206="","","DS Node")))</f>
        <v/>
      </c>
      <c r="B207" s="8" t="str">
        <f>IF(A207&lt;='Characteristics&amp;Parameters'!$B$17,'Characteristics&amp;Parameters'!$B$7,IF(ConcentrationsCalculations!A207="DS Node",'Characteristics&amp;Parameters'!$B$8,""))</f>
        <v/>
      </c>
      <c r="C207" s="8"/>
      <c r="E207" s="7" t="s">
        <v>25</v>
      </c>
      <c r="F207" s="8" t="s">
        <v>25</v>
      </c>
      <c r="I207" s="7" t="str">
        <f>IF(I206&lt;'Characteristics&amp;Parameters'!$B$17,ConcentrationsCalculations!I206+1,IF(I206="DS Node","",IF(I206="","","DS Node")))</f>
        <v/>
      </c>
      <c r="J207" s="13" t="str">
        <f>IF(I207="DS Node",'Characteristics&amp;Parameters'!$B$8,IF(I207&lt;='Characteristics&amp;Parameters'!$B$17,((1-'Characteristics&amp;Parameters'!$B$19)*ConcentrationsCalculations!F207+'Characteristics&amp;Parameters'!$B$19*ConcentrationsCalculations!F206-F207/86400*'Characteristics&amp;Parameters'!$B$11*'Characteristics&amp;Parameters'!$B$12),""))</f>
        <v/>
      </c>
    </row>
    <row r="208" spans="1:10" x14ac:dyDescent="0.5">
      <c r="A208" s="7" t="str">
        <f>IF(A207&lt;'Characteristics&amp;Parameters'!$B$17,ConcentrationsCalculations!A207+1,IF(A207="DS Node","",IF(A207="","","DS Node")))</f>
        <v/>
      </c>
      <c r="B208" s="8" t="str">
        <f>IF(A208&lt;='Characteristics&amp;Parameters'!$B$17,'Characteristics&amp;Parameters'!$B$7,IF(ConcentrationsCalculations!A208="DS Node",'Characteristics&amp;Parameters'!$B$8,""))</f>
        <v/>
      </c>
      <c r="C208" s="8"/>
      <c r="E208" s="7" t="s">
        <v>25</v>
      </c>
      <c r="F208" s="8" t="s">
        <v>25</v>
      </c>
      <c r="I208" s="7" t="str">
        <f>IF(I207&lt;'Characteristics&amp;Parameters'!$B$17,ConcentrationsCalculations!I207+1,IF(I207="DS Node","",IF(I207="","","DS Node")))</f>
        <v/>
      </c>
      <c r="J208" s="13" t="str">
        <f>IF(I208="DS Node",'Characteristics&amp;Parameters'!$B$8,IF(I208&lt;='Characteristics&amp;Parameters'!$B$17,((1-'Characteristics&amp;Parameters'!$B$19)*ConcentrationsCalculations!F208+'Characteristics&amp;Parameters'!$B$19*ConcentrationsCalculations!F207-F208/86400*'Characteristics&amp;Parameters'!$B$11*'Characteristics&amp;Parameters'!$B$12),""))</f>
        <v/>
      </c>
    </row>
    <row r="209" spans="1:10" x14ac:dyDescent="0.5">
      <c r="A209" s="7" t="str">
        <f>IF(A208&lt;'Characteristics&amp;Parameters'!$B$17,ConcentrationsCalculations!A208+1,IF(A208="DS Node","",IF(A208="","","DS Node")))</f>
        <v/>
      </c>
      <c r="B209" s="8" t="str">
        <f>IF(A209&lt;='Characteristics&amp;Parameters'!$B$17,'Characteristics&amp;Parameters'!$B$7,IF(ConcentrationsCalculations!A209="DS Node",'Characteristics&amp;Parameters'!$B$8,""))</f>
        <v/>
      </c>
      <c r="C209" s="8"/>
      <c r="E209" s="7" t="s">
        <v>25</v>
      </c>
      <c r="F209" s="8" t="s">
        <v>25</v>
      </c>
      <c r="I209" s="7" t="str">
        <f>IF(I208&lt;'Characteristics&amp;Parameters'!$B$17,ConcentrationsCalculations!I208+1,IF(I208="DS Node","",IF(I208="","","DS Node")))</f>
        <v/>
      </c>
      <c r="J209" s="13" t="str">
        <f>IF(I209="DS Node",'Characteristics&amp;Parameters'!$B$8,IF(I209&lt;='Characteristics&amp;Parameters'!$B$17,((1-'Characteristics&amp;Parameters'!$B$19)*ConcentrationsCalculations!F209+'Characteristics&amp;Parameters'!$B$19*ConcentrationsCalculations!F208-F209/86400*'Characteristics&amp;Parameters'!$B$11*'Characteristics&amp;Parameters'!$B$12),""))</f>
        <v/>
      </c>
    </row>
    <row r="210" spans="1:10" x14ac:dyDescent="0.5">
      <c r="A210" s="7" t="str">
        <f>IF(A209&lt;'Characteristics&amp;Parameters'!$B$17,ConcentrationsCalculations!A209+1,IF(A209="DS Node","",IF(A209="","","DS Node")))</f>
        <v/>
      </c>
      <c r="B210" s="8" t="str">
        <f>IF(A210&lt;='Characteristics&amp;Parameters'!$B$17,'Characteristics&amp;Parameters'!$B$7,IF(ConcentrationsCalculations!A210="DS Node",'Characteristics&amp;Parameters'!$B$8,""))</f>
        <v/>
      </c>
      <c r="C210" s="8"/>
      <c r="E210" s="7" t="s">
        <v>25</v>
      </c>
      <c r="F210" s="8" t="s">
        <v>25</v>
      </c>
      <c r="I210" s="7" t="str">
        <f>IF(I209&lt;'Characteristics&amp;Parameters'!$B$17,ConcentrationsCalculations!I209+1,IF(I209="DS Node","",IF(I209="","","DS Node")))</f>
        <v/>
      </c>
      <c r="J210" s="13" t="str">
        <f>IF(I210="DS Node",'Characteristics&amp;Parameters'!$B$8,IF(I210&lt;='Characteristics&amp;Parameters'!$B$17,((1-'Characteristics&amp;Parameters'!$B$19)*ConcentrationsCalculations!F210+'Characteristics&amp;Parameters'!$B$19*ConcentrationsCalculations!F209-F210/86400*'Characteristics&amp;Parameters'!$B$11*'Characteristics&amp;Parameters'!$B$12),""))</f>
        <v/>
      </c>
    </row>
    <row r="211" spans="1:10" x14ac:dyDescent="0.5">
      <c r="A211" s="7" t="str">
        <f>IF(A210&lt;'Characteristics&amp;Parameters'!$B$17,ConcentrationsCalculations!A210+1,IF(A210="DS Node","",IF(A210="","","DS Node")))</f>
        <v/>
      </c>
      <c r="B211" s="8" t="str">
        <f>IF(A211&lt;='Characteristics&amp;Parameters'!$B$17,'Characteristics&amp;Parameters'!$B$7,IF(ConcentrationsCalculations!A211="DS Node",'Characteristics&amp;Parameters'!$B$8,""))</f>
        <v/>
      </c>
      <c r="C211" s="8"/>
      <c r="E211" s="7" t="s">
        <v>25</v>
      </c>
      <c r="F211" s="8" t="s">
        <v>25</v>
      </c>
      <c r="I211" s="7" t="str">
        <f>IF(I210&lt;'Characteristics&amp;Parameters'!$B$17,ConcentrationsCalculations!I210+1,IF(I210="DS Node","",IF(I210="","","DS Node")))</f>
        <v/>
      </c>
      <c r="J211" s="13" t="str">
        <f>IF(I211="DS Node",'Characteristics&amp;Parameters'!$B$8,IF(I211&lt;='Characteristics&amp;Parameters'!$B$17,((1-'Characteristics&amp;Parameters'!$B$19)*ConcentrationsCalculations!F211+'Characteristics&amp;Parameters'!$B$19*ConcentrationsCalculations!F210-F211/86400*'Characteristics&amp;Parameters'!$B$11*'Characteristics&amp;Parameters'!$B$12),""))</f>
        <v/>
      </c>
    </row>
    <row r="212" spans="1:10" x14ac:dyDescent="0.5">
      <c r="A212" s="7" t="str">
        <f>IF(A211&lt;'Characteristics&amp;Parameters'!$B$17,ConcentrationsCalculations!A211+1,IF(A211="DS Node","",IF(A211="","","DS Node")))</f>
        <v/>
      </c>
      <c r="B212" s="8" t="str">
        <f>IF(A212&lt;='Characteristics&amp;Parameters'!$B$17,'Characteristics&amp;Parameters'!$B$7,IF(ConcentrationsCalculations!A212="DS Node",'Characteristics&amp;Parameters'!$B$8,""))</f>
        <v/>
      </c>
      <c r="C212" s="8"/>
      <c r="E212" s="7" t="s">
        <v>25</v>
      </c>
      <c r="F212" s="8" t="s">
        <v>25</v>
      </c>
      <c r="I212" s="7" t="str">
        <f>IF(I211&lt;'Characteristics&amp;Parameters'!$B$17,ConcentrationsCalculations!I211+1,IF(I211="DS Node","",IF(I211="","","DS Node")))</f>
        <v/>
      </c>
      <c r="J212" s="13" t="str">
        <f>IF(I212="DS Node",'Characteristics&amp;Parameters'!$B$8,IF(I212&lt;='Characteristics&amp;Parameters'!$B$17,((1-'Characteristics&amp;Parameters'!$B$19)*ConcentrationsCalculations!F212+'Characteristics&amp;Parameters'!$B$19*ConcentrationsCalculations!F211-F212/86400*'Characteristics&amp;Parameters'!$B$11*'Characteristics&amp;Parameters'!$B$12),""))</f>
        <v/>
      </c>
    </row>
    <row r="213" spans="1:10" x14ac:dyDescent="0.5">
      <c r="A213" s="7" t="str">
        <f>IF(A212&lt;'Characteristics&amp;Parameters'!$B$17,ConcentrationsCalculations!A212+1,IF(A212="DS Node","",IF(A212="","","DS Node")))</f>
        <v/>
      </c>
      <c r="B213" s="8" t="str">
        <f>IF(A213&lt;='Characteristics&amp;Parameters'!$B$17,'Characteristics&amp;Parameters'!$B$7,IF(ConcentrationsCalculations!A213="DS Node",'Characteristics&amp;Parameters'!$B$8,""))</f>
        <v/>
      </c>
      <c r="C213" s="8"/>
      <c r="E213" s="7" t="s">
        <v>25</v>
      </c>
      <c r="F213" s="8" t="s">
        <v>25</v>
      </c>
      <c r="I213" s="7" t="str">
        <f>IF(I212&lt;'Characteristics&amp;Parameters'!$B$17,ConcentrationsCalculations!I212+1,IF(I212="DS Node","",IF(I212="","","DS Node")))</f>
        <v/>
      </c>
      <c r="J213" s="13" t="str">
        <f>IF(I213="DS Node",'Characteristics&amp;Parameters'!$B$8,IF(I213&lt;='Characteristics&amp;Parameters'!$B$17,((1-'Characteristics&amp;Parameters'!$B$19)*ConcentrationsCalculations!F213+'Characteristics&amp;Parameters'!$B$19*ConcentrationsCalculations!F212-F213/86400*'Characteristics&amp;Parameters'!$B$11*'Characteristics&amp;Parameters'!$B$12),""))</f>
        <v/>
      </c>
    </row>
    <row r="214" spans="1:10" x14ac:dyDescent="0.5">
      <c r="A214" s="7" t="str">
        <f>IF(A213&lt;'Characteristics&amp;Parameters'!$B$17,ConcentrationsCalculations!A213+1,IF(A213="DS Node","",IF(A213="","","DS Node")))</f>
        <v/>
      </c>
      <c r="B214" s="8" t="str">
        <f>IF(A214&lt;='Characteristics&amp;Parameters'!$B$17,'Characteristics&amp;Parameters'!$B$7,IF(ConcentrationsCalculations!A214="DS Node",'Characteristics&amp;Parameters'!$B$8,""))</f>
        <v/>
      </c>
      <c r="C214" s="8"/>
      <c r="E214" s="7" t="s">
        <v>25</v>
      </c>
      <c r="F214" s="8" t="s">
        <v>25</v>
      </c>
      <c r="I214" s="7" t="str">
        <f>IF(I213&lt;'Characteristics&amp;Parameters'!$B$17,ConcentrationsCalculations!I213+1,IF(I213="DS Node","",IF(I213="","","DS Node")))</f>
        <v/>
      </c>
      <c r="J214" s="13" t="str">
        <f>IF(I214="DS Node",'Characteristics&amp;Parameters'!$B$8,IF(I214&lt;='Characteristics&amp;Parameters'!$B$17,((1-'Characteristics&amp;Parameters'!$B$19)*ConcentrationsCalculations!F214+'Characteristics&amp;Parameters'!$B$19*ConcentrationsCalculations!F213-F214/86400*'Characteristics&amp;Parameters'!$B$11*'Characteristics&amp;Parameters'!$B$12),""))</f>
        <v/>
      </c>
    </row>
    <row r="215" spans="1:10" x14ac:dyDescent="0.5">
      <c r="A215" s="7" t="str">
        <f>IF(A214&lt;'Characteristics&amp;Parameters'!$B$17,ConcentrationsCalculations!A214+1,IF(A214="DS Node","",IF(A214="","","DS Node")))</f>
        <v/>
      </c>
      <c r="B215" s="8" t="str">
        <f>IF(A215&lt;='Characteristics&amp;Parameters'!$B$17,'Characteristics&amp;Parameters'!$B$7,IF(ConcentrationsCalculations!A215="DS Node",'Characteristics&amp;Parameters'!$B$8,""))</f>
        <v/>
      </c>
      <c r="C215" s="8"/>
      <c r="E215" s="7" t="s">
        <v>25</v>
      </c>
      <c r="F215" s="8" t="s">
        <v>25</v>
      </c>
      <c r="I215" s="7" t="str">
        <f>IF(I214&lt;'Characteristics&amp;Parameters'!$B$17,ConcentrationsCalculations!I214+1,IF(I214="DS Node","",IF(I214="","","DS Node")))</f>
        <v/>
      </c>
      <c r="J215" s="13" t="str">
        <f>IF(I215="DS Node",'Characteristics&amp;Parameters'!$B$8,IF(I215&lt;='Characteristics&amp;Parameters'!$B$17,((1-'Characteristics&amp;Parameters'!$B$19)*ConcentrationsCalculations!F215+'Characteristics&amp;Parameters'!$B$19*ConcentrationsCalculations!F214-F215/86400*'Characteristics&amp;Parameters'!$B$11*'Characteristics&amp;Parameters'!$B$12),""))</f>
        <v/>
      </c>
    </row>
    <row r="216" spans="1:10" x14ac:dyDescent="0.5">
      <c r="A216" s="7" t="str">
        <f>IF(A215&lt;'Characteristics&amp;Parameters'!$B$17,ConcentrationsCalculations!A215+1,IF(A215="DS Node","",IF(A215="","","DS Node")))</f>
        <v/>
      </c>
      <c r="B216" s="8" t="str">
        <f>IF(A216&lt;='Characteristics&amp;Parameters'!$B$17,'Characteristics&amp;Parameters'!$B$7,IF(ConcentrationsCalculations!A216="DS Node",'Characteristics&amp;Parameters'!$B$8,""))</f>
        <v/>
      </c>
      <c r="C216" s="8"/>
      <c r="E216" s="7" t="s">
        <v>25</v>
      </c>
      <c r="F216" s="8" t="s">
        <v>25</v>
      </c>
      <c r="I216" s="7" t="str">
        <f>IF(I215&lt;'Characteristics&amp;Parameters'!$B$17,ConcentrationsCalculations!I215+1,IF(I215="DS Node","",IF(I215="","","DS Node")))</f>
        <v/>
      </c>
      <c r="J216" s="13" t="str">
        <f>IF(I216="DS Node",'Characteristics&amp;Parameters'!$B$8,IF(I216&lt;='Characteristics&amp;Parameters'!$B$17,((1-'Characteristics&amp;Parameters'!$B$19)*ConcentrationsCalculations!F216+'Characteristics&amp;Parameters'!$B$19*ConcentrationsCalculations!F215-F216/86400*'Characteristics&amp;Parameters'!$B$11*'Characteristics&amp;Parameters'!$B$12),""))</f>
        <v/>
      </c>
    </row>
    <row r="217" spans="1:10" x14ac:dyDescent="0.5">
      <c r="A217" s="7" t="str">
        <f>IF(A216&lt;'Characteristics&amp;Parameters'!$B$17,ConcentrationsCalculations!A216+1,IF(A216="DS Node","",IF(A216="","","DS Node")))</f>
        <v/>
      </c>
      <c r="B217" s="8" t="str">
        <f>IF(A217&lt;='Characteristics&amp;Parameters'!$B$17,'Characteristics&amp;Parameters'!$B$7,IF(ConcentrationsCalculations!A217="DS Node",'Characteristics&amp;Parameters'!$B$8,""))</f>
        <v/>
      </c>
      <c r="C217" s="8"/>
      <c r="E217" s="7" t="s">
        <v>25</v>
      </c>
      <c r="F217" s="8" t="s">
        <v>25</v>
      </c>
      <c r="I217" s="7" t="str">
        <f>IF(I216&lt;'Characteristics&amp;Parameters'!$B$17,ConcentrationsCalculations!I216+1,IF(I216="DS Node","",IF(I216="","","DS Node")))</f>
        <v/>
      </c>
      <c r="J217" s="13" t="str">
        <f>IF(I217="DS Node",'Characteristics&amp;Parameters'!$B$8,IF(I217&lt;='Characteristics&amp;Parameters'!$B$17,((1-'Characteristics&amp;Parameters'!$B$19)*ConcentrationsCalculations!F217+'Characteristics&amp;Parameters'!$B$19*ConcentrationsCalculations!F216-F217/86400*'Characteristics&amp;Parameters'!$B$11*'Characteristics&amp;Parameters'!$B$12),""))</f>
        <v/>
      </c>
    </row>
    <row r="218" spans="1:10" x14ac:dyDescent="0.5">
      <c r="A218" s="7" t="str">
        <f>IF(A217&lt;'Characteristics&amp;Parameters'!$B$17,ConcentrationsCalculations!A217+1,IF(A217="DS Node","",IF(A217="","","DS Node")))</f>
        <v/>
      </c>
      <c r="B218" s="8" t="str">
        <f>IF(A218&lt;='Characteristics&amp;Parameters'!$B$17,'Characteristics&amp;Parameters'!$B$7,IF(ConcentrationsCalculations!A218="DS Node",'Characteristics&amp;Parameters'!$B$8,""))</f>
        <v/>
      </c>
      <c r="C218" s="8"/>
      <c r="E218" s="7" t="s">
        <v>25</v>
      </c>
      <c r="F218" s="8" t="s">
        <v>25</v>
      </c>
      <c r="I218" s="7" t="str">
        <f>IF(I217&lt;'Characteristics&amp;Parameters'!$B$17,ConcentrationsCalculations!I217+1,IF(I217="DS Node","",IF(I217="","","DS Node")))</f>
        <v/>
      </c>
      <c r="J218" s="13" t="str">
        <f>IF(I218="DS Node",'Characteristics&amp;Parameters'!$B$8,IF(I218&lt;='Characteristics&amp;Parameters'!$B$17,((1-'Characteristics&amp;Parameters'!$B$19)*ConcentrationsCalculations!F218+'Characteristics&amp;Parameters'!$B$19*ConcentrationsCalculations!F217-F218/86400*'Characteristics&amp;Parameters'!$B$11*'Characteristics&amp;Parameters'!$B$12),""))</f>
        <v/>
      </c>
    </row>
    <row r="219" spans="1:10" x14ac:dyDescent="0.5">
      <c r="A219" s="7" t="str">
        <f>IF(A218&lt;'Characteristics&amp;Parameters'!$B$17,ConcentrationsCalculations!A218+1,IF(A218="DS Node","",IF(A218="","","DS Node")))</f>
        <v/>
      </c>
      <c r="B219" s="8" t="str">
        <f>IF(A219&lt;='Characteristics&amp;Parameters'!$B$17,'Characteristics&amp;Parameters'!$B$7,IF(ConcentrationsCalculations!A219="DS Node",'Characteristics&amp;Parameters'!$B$8,""))</f>
        <v/>
      </c>
      <c r="C219" s="8"/>
      <c r="E219" s="7" t="s">
        <v>25</v>
      </c>
      <c r="F219" s="8" t="s">
        <v>25</v>
      </c>
      <c r="I219" s="7" t="str">
        <f>IF(I218&lt;'Characteristics&amp;Parameters'!$B$17,ConcentrationsCalculations!I218+1,IF(I218="DS Node","",IF(I218="","","DS Node")))</f>
        <v/>
      </c>
      <c r="J219" s="13" t="str">
        <f>IF(I219="DS Node",'Characteristics&amp;Parameters'!$B$8,IF(I219&lt;='Characteristics&amp;Parameters'!$B$17,((1-'Characteristics&amp;Parameters'!$B$19)*ConcentrationsCalculations!F219+'Characteristics&amp;Parameters'!$B$19*ConcentrationsCalculations!F218-F219/86400*'Characteristics&amp;Parameters'!$B$11*'Characteristics&amp;Parameters'!$B$12),""))</f>
        <v/>
      </c>
    </row>
    <row r="220" spans="1:10" x14ac:dyDescent="0.5">
      <c r="A220" s="7" t="str">
        <f>IF(A219&lt;'Characteristics&amp;Parameters'!$B$17,ConcentrationsCalculations!A219+1,IF(A219="DS Node","",IF(A219="","","DS Node")))</f>
        <v/>
      </c>
      <c r="B220" s="8" t="str">
        <f>IF(A220&lt;='Characteristics&amp;Parameters'!$B$17,'Characteristics&amp;Parameters'!$B$7,IF(ConcentrationsCalculations!A220="DS Node",'Characteristics&amp;Parameters'!$B$8,""))</f>
        <v/>
      </c>
      <c r="C220" s="8"/>
      <c r="E220" s="7" t="s">
        <v>25</v>
      </c>
      <c r="F220" s="8" t="s">
        <v>25</v>
      </c>
      <c r="I220" s="7" t="str">
        <f>IF(I219&lt;'Characteristics&amp;Parameters'!$B$17,ConcentrationsCalculations!I219+1,IF(I219="DS Node","",IF(I219="","","DS Node")))</f>
        <v/>
      </c>
      <c r="J220" s="13" t="str">
        <f>IF(I220="DS Node",'Characteristics&amp;Parameters'!$B$8,IF(I220&lt;='Characteristics&amp;Parameters'!$B$17,((1-'Characteristics&amp;Parameters'!$B$19)*ConcentrationsCalculations!F220+'Characteristics&amp;Parameters'!$B$19*ConcentrationsCalculations!F219-F220/86400*'Characteristics&amp;Parameters'!$B$11*'Characteristics&amp;Parameters'!$B$12),""))</f>
        <v/>
      </c>
    </row>
    <row r="221" spans="1:10" x14ac:dyDescent="0.5">
      <c r="A221" s="7" t="str">
        <f>IF(A220&lt;'Characteristics&amp;Parameters'!$B$17,ConcentrationsCalculations!A220+1,IF(A220="DS Node","",IF(A220="","","DS Node")))</f>
        <v/>
      </c>
      <c r="B221" s="8" t="str">
        <f>IF(A221&lt;='Characteristics&amp;Parameters'!$B$17,'Characteristics&amp;Parameters'!$B$7,IF(ConcentrationsCalculations!A221="DS Node",'Characteristics&amp;Parameters'!$B$8,""))</f>
        <v/>
      </c>
      <c r="C221" s="8"/>
      <c r="E221" s="7" t="s">
        <v>25</v>
      </c>
      <c r="F221" s="8" t="s">
        <v>25</v>
      </c>
      <c r="I221" s="7" t="str">
        <f>IF(I220&lt;'Characteristics&amp;Parameters'!$B$17,ConcentrationsCalculations!I220+1,IF(I220="DS Node","",IF(I220="","","DS Node")))</f>
        <v/>
      </c>
      <c r="J221" s="13" t="str">
        <f>IF(I221="DS Node",'Characteristics&amp;Parameters'!$B$8,IF(I221&lt;='Characteristics&amp;Parameters'!$B$17,((1-'Characteristics&amp;Parameters'!$B$19)*ConcentrationsCalculations!F221+'Characteristics&amp;Parameters'!$B$19*ConcentrationsCalculations!F220-F221/86400*'Characteristics&amp;Parameters'!$B$11*'Characteristics&amp;Parameters'!$B$12),""))</f>
        <v/>
      </c>
    </row>
    <row r="222" spans="1:10" x14ac:dyDescent="0.5">
      <c r="A222" s="7" t="str">
        <f>IF(A221&lt;'Characteristics&amp;Parameters'!$B$17,ConcentrationsCalculations!A221+1,IF(A221="DS Node","",IF(A221="","","DS Node")))</f>
        <v/>
      </c>
      <c r="B222" s="8" t="str">
        <f>IF(A222&lt;='Characteristics&amp;Parameters'!$B$17,'Characteristics&amp;Parameters'!$B$7,IF(ConcentrationsCalculations!A222="DS Node",'Characteristics&amp;Parameters'!$B$8,""))</f>
        <v/>
      </c>
      <c r="C222" s="8"/>
      <c r="E222" s="7" t="s">
        <v>25</v>
      </c>
      <c r="F222" s="8" t="s">
        <v>25</v>
      </c>
      <c r="I222" s="7" t="str">
        <f>IF(I221&lt;'Characteristics&amp;Parameters'!$B$17,ConcentrationsCalculations!I221+1,IF(I221="DS Node","",IF(I221="","","DS Node")))</f>
        <v/>
      </c>
      <c r="J222" s="13" t="str">
        <f>IF(I222="DS Node",'Characteristics&amp;Parameters'!$B$8,IF(I222&lt;='Characteristics&amp;Parameters'!$B$17,((1-'Characteristics&amp;Parameters'!$B$19)*ConcentrationsCalculations!F222+'Characteristics&amp;Parameters'!$B$19*ConcentrationsCalculations!F221-F222/86400*'Characteristics&amp;Parameters'!$B$11*'Characteristics&amp;Parameters'!$B$12),""))</f>
        <v/>
      </c>
    </row>
    <row r="223" spans="1:10" x14ac:dyDescent="0.5">
      <c r="A223" s="7" t="str">
        <f>IF(A222&lt;'Characteristics&amp;Parameters'!$B$17,ConcentrationsCalculations!A222+1,IF(A222="DS Node","",IF(A222="","","DS Node")))</f>
        <v/>
      </c>
      <c r="B223" s="8" t="str">
        <f>IF(A223&lt;='Characteristics&amp;Parameters'!$B$17,'Characteristics&amp;Parameters'!$B$7,IF(ConcentrationsCalculations!A223="DS Node",'Characteristics&amp;Parameters'!$B$8,""))</f>
        <v/>
      </c>
      <c r="C223" s="8"/>
      <c r="E223" s="7" t="s">
        <v>25</v>
      </c>
      <c r="F223" s="8" t="s">
        <v>25</v>
      </c>
      <c r="I223" s="7" t="str">
        <f>IF(I222&lt;'Characteristics&amp;Parameters'!$B$17,ConcentrationsCalculations!I222+1,IF(I222="DS Node","",IF(I222="","","DS Node")))</f>
        <v/>
      </c>
      <c r="J223" s="13" t="str">
        <f>IF(I223="DS Node",'Characteristics&amp;Parameters'!$B$8,IF(I223&lt;='Characteristics&amp;Parameters'!$B$17,((1-'Characteristics&amp;Parameters'!$B$19)*ConcentrationsCalculations!F223+'Characteristics&amp;Parameters'!$B$19*ConcentrationsCalculations!F222-F223/86400*'Characteristics&amp;Parameters'!$B$11*'Characteristics&amp;Parameters'!$B$12),""))</f>
        <v/>
      </c>
    </row>
    <row r="224" spans="1:10" x14ac:dyDescent="0.5">
      <c r="A224" s="7" t="str">
        <f>IF(A223&lt;'Characteristics&amp;Parameters'!$B$17,ConcentrationsCalculations!A223+1,IF(A223="DS Node","",IF(A223="","","DS Node")))</f>
        <v/>
      </c>
      <c r="B224" s="8" t="str">
        <f>IF(A224&lt;='Characteristics&amp;Parameters'!$B$17,'Characteristics&amp;Parameters'!$B$7,IF(ConcentrationsCalculations!A224="DS Node",'Characteristics&amp;Parameters'!$B$8,""))</f>
        <v/>
      </c>
      <c r="C224" s="8"/>
      <c r="E224" s="7" t="s">
        <v>25</v>
      </c>
      <c r="F224" s="8" t="s">
        <v>25</v>
      </c>
      <c r="I224" s="7" t="str">
        <f>IF(I223&lt;'Characteristics&amp;Parameters'!$B$17,ConcentrationsCalculations!I223+1,IF(I223="DS Node","",IF(I223="","","DS Node")))</f>
        <v/>
      </c>
      <c r="J224" s="13" t="str">
        <f>IF(I224="DS Node",'Characteristics&amp;Parameters'!$B$8,IF(I224&lt;='Characteristics&amp;Parameters'!$B$17,((1-'Characteristics&amp;Parameters'!$B$19)*ConcentrationsCalculations!F224+'Characteristics&amp;Parameters'!$B$19*ConcentrationsCalculations!F223-F224/86400*'Characteristics&amp;Parameters'!$B$11*'Characteristics&amp;Parameters'!$B$12),""))</f>
        <v/>
      </c>
    </row>
    <row r="225" spans="1:10" x14ac:dyDescent="0.5">
      <c r="A225" s="7" t="str">
        <f>IF(A224&lt;'Characteristics&amp;Parameters'!$B$17,ConcentrationsCalculations!A224+1,IF(A224="DS Node","",IF(A224="","","DS Node")))</f>
        <v/>
      </c>
      <c r="B225" s="8" t="str">
        <f>IF(A225&lt;='Characteristics&amp;Parameters'!$B$17,'Characteristics&amp;Parameters'!$B$7,IF(ConcentrationsCalculations!A225="DS Node",'Characteristics&amp;Parameters'!$B$8,""))</f>
        <v/>
      </c>
      <c r="C225" s="8"/>
      <c r="E225" s="7" t="s">
        <v>25</v>
      </c>
      <c r="F225" s="8" t="s">
        <v>25</v>
      </c>
      <c r="I225" s="7" t="str">
        <f>IF(I224&lt;'Characteristics&amp;Parameters'!$B$17,ConcentrationsCalculations!I224+1,IF(I224="DS Node","",IF(I224="","","DS Node")))</f>
        <v/>
      </c>
      <c r="J225" s="13" t="str">
        <f>IF(I225="DS Node",'Characteristics&amp;Parameters'!$B$8,IF(I225&lt;='Characteristics&amp;Parameters'!$B$17,((1-'Characteristics&amp;Parameters'!$B$19)*ConcentrationsCalculations!F225+'Characteristics&amp;Parameters'!$B$19*ConcentrationsCalculations!F224-F225/86400*'Characteristics&amp;Parameters'!$B$11*'Characteristics&amp;Parameters'!$B$12),""))</f>
        <v/>
      </c>
    </row>
    <row r="226" spans="1:10" x14ac:dyDescent="0.5">
      <c r="A226" s="7" t="str">
        <f>IF(A225&lt;'Characteristics&amp;Parameters'!$B$17,ConcentrationsCalculations!A225+1,IF(A225="DS Node","",IF(A225="","","DS Node")))</f>
        <v/>
      </c>
      <c r="B226" s="8" t="str">
        <f>IF(A226&lt;='Characteristics&amp;Parameters'!$B$17,'Characteristics&amp;Parameters'!$B$7,IF(ConcentrationsCalculations!A226="DS Node",'Characteristics&amp;Parameters'!$B$8,""))</f>
        <v/>
      </c>
      <c r="C226" s="8"/>
      <c r="E226" s="7" t="s">
        <v>25</v>
      </c>
      <c r="F226" s="8" t="s">
        <v>25</v>
      </c>
      <c r="I226" s="7" t="str">
        <f>IF(I225&lt;'Characteristics&amp;Parameters'!$B$17,ConcentrationsCalculations!I225+1,IF(I225="DS Node","",IF(I225="","","DS Node")))</f>
        <v/>
      </c>
      <c r="J226" s="13" t="str">
        <f>IF(I226="DS Node",'Characteristics&amp;Parameters'!$B$8,IF(I226&lt;='Characteristics&amp;Parameters'!$B$17,((1-'Characteristics&amp;Parameters'!$B$19)*ConcentrationsCalculations!F226+'Characteristics&amp;Parameters'!$B$19*ConcentrationsCalculations!F225-F226/86400*'Characteristics&amp;Parameters'!$B$11*'Characteristics&amp;Parameters'!$B$12),""))</f>
        <v/>
      </c>
    </row>
    <row r="227" spans="1:10" x14ac:dyDescent="0.5">
      <c r="A227" s="7" t="str">
        <f>IF(A226&lt;'Characteristics&amp;Parameters'!$B$17,ConcentrationsCalculations!A226+1,IF(A226="DS Node","",IF(A226="","","DS Node")))</f>
        <v/>
      </c>
      <c r="B227" s="8" t="str">
        <f>IF(A227&lt;='Characteristics&amp;Parameters'!$B$17,'Characteristics&amp;Parameters'!$B$7,IF(ConcentrationsCalculations!A227="DS Node",'Characteristics&amp;Parameters'!$B$8,""))</f>
        <v/>
      </c>
      <c r="C227" s="8"/>
      <c r="E227" s="7" t="s">
        <v>25</v>
      </c>
      <c r="F227" s="8" t="s">
        <v>25</v>
      </c>
      <c r="I227" s="7" t="str">
        <f>IF(I226&lt;'Characteristics&amp;Parameters'!$B$17,ConcentrationsCalculations!I226+1,IF(I226="DS Node","",IF(I226="","","DS Node")))</f>
        <v/>
      </c>
      <c r="J227" s="13" t="str">
        <f>IF(I227="DS Node",'Characteristics&amp;Parameters'!$B$8,IF(I227&lt;='Characteristics&amp;Parameters'!$B$17,((1-'Characteristics&amp;Parameters'!$B$19)*ConcentrationsCalculations!F227+'Characteristics&amp;Parameters'!$B$19*ConcentrationsCalculations!F226-F227/86400*'Characteristics&amp;Parameters'!$B$11*'Characteristics&amp;Parameters'!$B$12),""))</f>
        <v/>
      </c>
    </row>
    <row r="228" spans="1:10" x14ac:dyDescent="0.5">
      <c r="A228" s="7" t="str">
        <f>IF(A227&lt;'Characteristics&amp;Parameters'!$B$17,ConcentrationsCalculations!A227+1,IF(A227="DS Node","",IF(A227="","","DS Node")))</f>
        <v/>
      </c>
      <c r="B228" s="8" t="str">
        <f>IF(A228&lt;='Characteristics&amp;Parameters'!$B$17,'Characteristics&amp;Parameters'!$B$7,IF(ConcentrationsCalculations!A228="DS Node",'Characteristics&amp;Parameters'!$B$8,""))</f>
        <v/>
      </c>
      <c r="C228" s="8"/>
      <c r="E228" s="7" t="s">
        <v>25</v>
      </c>
      <c r="F228" s="8" t="s">
        <v>25</v>
      </c>
      <c r="I228" s="7" t="str">
        <f>IF(I227&lt;'Characteristics&amp;Parameters'!$B$17,ConcentrationsCalculations!I227+1,IF(I227="DS Node","",IF(I227="","","DS Node")))</f>
        <v/>
      </c>
      <c r="J228" s="13" t="str">
        <f>IF(I228="DS Node",'Characteristics&amp;Parameters'!$B$8,IF(I228&lt;='Characteristics&amp;Parameters'!$B$17,((1-'Characteristics&amp;Parameters'!$B$19)*ConcentrationsCalculations!F228+'Characteristics&amp;Parameters'!$B$19*ConcentrationsCalculations!F227-F228/86400*'Characteristics&amp;Parameters'!$B$11*'Characteristics&amp;Parameters'!$B$12),""))</f>
        <v/>
      </c>
    </row>
    <row r="229" spans="1:10" x14ac:dyDescent="0.5">
      <c r="A229" s="7" t="str">
        <f>IF(A228&lt;'Characteristics&amp;Parameters'!$B$17,ConcentrationsCalculations!A228+1,IF(A228="DS Node","",IF(A228="","","DS Node")))</f>
        <v/>
      </c>
      <c r="B229" s="8" t="str">
        <f>IF(A229&lt;='Characteristics&amp;Parameters'!$B$17,'Characteristics&amp;Parameters'!$B$7,IF(ConcentrationsCalculations!A229="DS Node",'Characteristics&amp;Parameters'!$B$8,""))</f>
        <v/>
      </c>
      <c r="C229" s="8"/>
      <c r="E229" s="7" t="s">
        <v>25</v>
      </c>
      <c r="F229" s="8" t="s">
        <v>25</v>
      </c>
      <c r="I229" s="7" t="str">
        <f>IF(I228&lt;'Characteristics&amp;Parameters'!$B$17,ConcentrationsCalculations!I228+1,IF(I228="DS Node","",IF(I228="","","DS Node")))</f>
        <v/>
      </c>
      <c r="J229" s="13" t="str">
        <f>IF(I229="DS Node",'Characteristics&amp;Parameters'!$B$8,IF(I229&lt;='Characteristics&amp;Parameters'!$B$17,((1-'Characteristics&amp;Parameters'!$B$19)*ConcentrationsCalculations!F229+'Characteristics&amp;Parameters'!$B$19*ConcentrationsCalculations!F228-F229/86400*'Characteristics&amp;Parameters'!$B$11*'Characteristics&amp;Parameters'!$B$12),""))</f>
        <v/>
      </c>
    </row>
    <row r="230" spans="1:10" x14ac:dyDescent="0.5">
      <c r="A230" s="7" t="str">
        <f>IF(A229&lt;'Characteristics&amp;Parameters'!$B$17,ConcentrationsCalculations!A229+1,IF(A229="DS Node","",IF(A229="","","DS Node")))</f>
        <v/>
      </c>
      <c r="B230" s="8" t="str">
        <f>IF(A230&lt;='Characteristics&amp;Parameters'!$B$17,'Characteristics&amp;Parameters'!$B$7,IF(ConcentrationsCalculations!A230="DS Node",'Characteristics&amp;Parameters'!$B$8,""))</f>
        <v/>
      </c>
      <c r="C230" s="8"/>
      <c r="E230" s="7" t="s">
        <v>25</v>
      </c>
      <c r="F230" s="8" t="s">
        <v>25</v>
      </c>
      <c r="I230" s="7" t="str">
        <f>IF(I229&lt;'Characteristics&amp;Parameters'!$B$17,ConcentrationsCalculations!I229+1,IF(I229="DS Node","",IF(I229="","","DS Node")))</f>
        <v/>
      </c>
      <c r="J230" s="13" t="str">
        <f>IF(I230="DS Node",'Characteristics&amp;Parameters'!$B$8,IF(I230&lt;='Characteristics&amp;Parameters'!$B$17,((1-'Characteristics&amp;Parameters'!$B$19)*ConcentrationsCalculations!F230+'Characteristics&amp;Parameters'!$B$19*ConcentrationsCalculations!F229-F230/86400*'Characteristics&amp;Parameters'!$B$11*'Characteristics&amp;Parameters'!$B$12),""))</f>
        <v/>
      </c>
    </row>
    <row r="231" spans="1:10" x14ac:dyDescent="0.5">
      <c r="A231" s="7" t="str">
        <f>IF(A230&lt;'Characteristics&amp;Parameters'!$B$17,ConcentrationsCalculations!A230+1,IF(A230="DS Node","",IF(A230="","","DS Node")))</f>
        <v/>
      </c>
      <c r="B231" s="8" t="str">
        <f>IF(A231&lt;='Characteristics&amp;Parameters'!$B$17,'Characteristics&amp;Parameters'!$B$7,IF(ConcentrationsCalculations!A231="DS Node",'Characteristics&amp;Parameters'!$B$8,""))</f>
        <v/>
      </c>
      <c r="C231" s="8"/>
      <c r="E231" s="7" t="s">
        <v>25</v>
      </c>
      <c r="F231" s="8" t="s">
        <v>25</v>
      </c>
      <c r="I231" s="7" t="str">
        <f>IF(I230&lt;'Characteristics&amp;Parameters'!$B$17,ConcentrationsCalculations!I230+1,IF(I230="DS Node","",IF(I230="","","DS Node")))</f>
        <v/>
      </c>
      <c r="J231" s="13" t="str">
        <f>IF(I231="DS Node",'Characteristics&amp;Parameters'!$B$8,IF(I231&lt;='Characteristics&amp;Parameters'!$B$17,((1-'Characteristics&amp;Parameters'!$B$19)*ConcentrationsCalculations!F231+'Characteristics&amp;Parameters'!$B$19*ConcentrationsCalculations!F230-F231/86400*'Characteristics&amp;Parameters'!$B$11*'Characteristics&amp;Parameters'!$B$12),""))</f>
        <v/>
      </c>
    </row>
    <row r="232" spans="1:10" x14ac:dyDescent="0.5">
      <c r="A232" s="7" t="str">
        <f>IF(A231&lt;'Characteristics&amp;Parameters'!$B$17,ConcentrationsCalculations!A231+1,IF(A231="DS Node","",IF(A231="","","DS Node")))</f>
        <v/>
      </c>
      <c r="B232" s="8" t="str">
        <f>IF(A232&lt;='Characteristics&amp;Parameters'!$B$17,'Characteristics&amp;Parameters'!$B$7,IF(ConcentrationsCalculations!A232="DS Node",'Characteristics&amp;Parameters'!$B$8,""))</f>
        <v/>
      </c>
      <c r="C232" s="8"/>
      <c r="E232" s="7" t="s">
        <v>25</v>
      </c>
      <c r="F232" s="8" t="s">
        <v>25</v>
      </c>
      <c r="I232" s="7" t="str">
        <f>IF(I231&lt;'Characteristics&amp;Parameters'!$B$17,ConcentrationsCalculations!I231+1,IF(I231="DS Node","",IF(I231="","","DS Node")))</f>
        <v/>
      </c>
      <c r="J232" s="13" t="str">
        <f>IF(I232="DS Node",'Characteristics&amp;Parameters'!$B$8,IF(I232&lt;='Characteristics&amp;Parameters'!$B$17,((1-'Characteristics&amp;Parameters'!$B$19)*ConcentrationsCalculations!F232+'Characteristics&amp;Parameters'!$B$19*ConcentrationsCalculations!F231-F232/86400*'Characteristics&amp;Parameters'!$B$11*'Characteristics&amp;Parameters'!$B$12),""))</f>
        <v/>
      </c>
    </row>
    <row r="233" spans="1:10" x14ac:dyDescent="0.5">
      <c r="A233" s="7" t="str">
        <f>IF(A232&lt;'Characteristics&amp;Parameters'!$B$17,ConcentrationsCalculations!A232+1,IF(A232="DS Node","",IF(A232="","","DS Node")))</f>
        <v/>
      </c>
      <c r="B233" s="8" t="str">
        <f>IF(A233&lt;='Characteristics&amp;Parameters'!$B$17,'Characteristics&amp;Parameters'!$B$7,IF(ConcentrationsCalculations!A233="DS Node",'Characteristics&amp;Parameters'!$B$8,""))</f>
        <v/>
      </c>
      <c r="C233" s="8"/>
      <c r="E233" s="7" t="s">
        <v>25</v>
      </c>
      <c r="F233" s="8" t="s">
        <v>25</v>
      </c>
      <c r="I233" s="7" t="str">
        <f>IF(I232&lt;'Characteristics&amp;Parameters'!$B$17,ConcentrationsCalculations!I232+1,IF(I232="DS Node","",IF(I232="","","DS Node")))</f>
        <v/>
      </c>
      <c r="J233" s="13" t="str">
        <f>IF(I233="DS Node",'Characteristics&amp;Parameters'!$B$8,IF(I233&lt;='Characteristics&amp;Parameters'!$B$17,((1-'Characteristics&amp;Parameters'!$B$19)*ConcentrationsCalculations!F233+'Characteristics&amp;Parameters'!$B$19*ConcentrationsCalculations!F232-F233/86400*'Characteristics&amp;Parameters'!$B$11*'Characteristics&amp;Parameters'!$B$12),""))</f>
        <v/>
      </c>
    </row>
    <row r="234" spans="1:10" x14ac:dyDescent="0.5">
      <c r="A234" s="7" t="str">
        <f>IF(A233&lt;'Characteristics&amp;Parameters'!$B$17,ConcentrationsCalculations!A233+1,IF(A233="DS Node","",IF(A233="","","DS Node")))</f>
        <v/>
      </c>
      <c r="B234" s="8" t="str">
        <f>IF(A234&lt;='Characteristics&amp;Parameters'!$B$17,'Characteristics&amp;Parameters'!$B$7,IF(ConcentrationsCalculations!A234="DS Node",'Characteristics&amp;Parameters'!$B$8,""))</f>
        <v/>
      </c>
      <c r="C234" s="8"/>
      <c r="E234" s="7" t="s">
        <v>25</v>
      </c>
      <c r="F234" s="8" t="s">
        <v>25</v>
      </c>
      <c r="I234" s="7" t="str">
        <f>IF(I233&lt;'Characteristics&amp;Parameters'!$B$17,ConcentrationsCalculations!I233+1,IF(I233="DS Node","",IF(I233="","","DS Node")))</f>
        <v/>
      </c>
      <c r="J234" s="13" t="str">
        <f>IF(I234="DS Node",'Characteristics&amp;Parameters'!$B$8,IF(I234&lt;='Characteristics&amp;Parameters'!$B$17,((1-'Characteristics&amp;Parameters'!$B$19)*ConcentrationsCalculations!F234+'Characteristics&amp;Parameters'!$B$19*ConcentrationsCalculations!F233-F234/86400*'Characteristics&amp;Parameters'!$B$11*'Characteristics&amp;Parameters'!$B$12),""))</f>
        <v/>
      </c>
    </row>
    <row r="235" spans="1:10" x14ac:dyDescent="0.5">
      <c r="A235" s="7" t="str">
        <f>IF(A234&lt;'Characteristics&amp;Parameters'!$B$17,ConcentrationsCalculations!A234+1,IF(A234="DS Node","",IF(A234="","","DS Node")))</f>
        <v/>
      </c>
      <c r="B235" s="8" t="str">
        <f>IF(A235&lt;='Characteristics&amp;Parameters'!$B$17,'Characteristics&amp;Parameters'!$B$7,IF(ConcentrationsCalculations!A235="DS Node",'Characteristics&amp;Parameters'!$B$8,""))</f>
        <v/>
      </c>
      <c r="C235" s="8"/>
      <c r="E235" s="7" t="s">
        <v>25</v>
      </c>
      <c r="F235" s="8" t="s">
        <v>25</v>
      </c>
      <c r="I235" s="7" t="str">
        <f>IF(I234&lt;'Characteristics&amp;Parameters'!$B$17,ConcentrationsCalculations!I234+1,IF(I234="DS Node","",IF(I234="","","DS Node")))</f>
        <v/>
      </c>
      <c r="J235" s="13" t="str">
        <f>IF(I235="DS Node",'Characteristics&amp;Parameters'!$B$8,IF(I235&lt;='Characteristics&amp;Parameters'!$B$17,((1-'Characteristics&amp;Parameters'!$B$19)*ConcentrationsCalculations!F235+'Characteristics&amp;Parameters'!$B$19*ConcentrationsCalculations!F234-F235/86400*'Characteristics&amp;Parameters'!$B$11*'Characteristics&amp;Parameters'!$B$12),""))</f>
        <v/>
      </c>
    </row>
    <row r="236" spans="1:10" x14ac:dyDescent="0.5">
      <c r="A236" s="7" t="str">
        <f>IF(A235&lt;'Characteristics&amp;Parameters'!$B$17,ConcentrationsCalculations!A235+1,IF(A235="DS Node","",IF(A235="","","DS Node")))</f>
        <v/>
      </c>
      <c r="B236" s="8" t="str">
        <f>IF(A236&lt;='Characteristics&amp;Parameters'!$B$17,'Characteristics&amp;Parameters'!$B$7,IF(ConcentrationsCalculations!A236="DS Node",'Characteristics&amp;Parameters'!$B$8,""))</f>
        <v/>
      </c>
      <c r="C236" s="8"/>
      <c r="E236" s="7" t="s">
        <v>25</v>
      </c>
      <c r="F236" s="8" t="s">
        <v>25</v>
      </c>
      <c r="I236" s="7" t="str">
        <f>IF(I235&lt;'Characteristics&amp;Parameters'!$B$17,ConcentrationsCalculations!I235+1,IF(I235="DS Node","",IF(I235="","","DS Node")))</f>
        <v/>
      </c>
      <c r="J236" s="13" t="str">
        <f>IF(I236="DS Node",'Characteristics&amp;Parameters'!$B$8,IF(I236&lt;='Characteristics&amp;Parameters'!$B$17,((1-'Characteristics&amp;Parameters'!$B$19)*ConcentrationsCalculations!F236+'Characteristics&amp;Parameters'!$B$19*ConcentrationsCalculations!F235-F236/86400*'Characteristics&amp;Parameters'!$B$11*'Characteristics&amp;Parameters'!$B$12),""))</f>
        <v/>
      </c>
    </row>
    <row r="237" spans="1:10" x14ac:dyDescent="0.5">
      <c r="A237" s="7" t="str">
        <f>IF(A236&lt;'Characteristics&amp;Parameters'!$B$17,ConcentrationsCalculations!A236+1,IF(A236="DS Node","",IF(A236="","","DS Node")))</f>
        <v/>
      </c>
      <c r="B237" s="8" t="str">
        <f>IF(A237&lt;='Characteristics&amp;Parameters'!$B$17,'Characteristics&amp;Parameters'!$B$7,IF(ConcentrationsCalculations!A237="DS Node",'Characteristics&amp;Parameters'!$B$8,""))</f>
        <v/>
      </c>
      <c r="C237" s="8"/>
      <c r="E237" s="7" t="s">
        <v>25</v>
      </c>
      <c r="F237" s="8" t="s">
        <v>25</v>
      </c>
      <c r="I237" s="7" t="str">
        <f>IF(I236&lt;'Characteristics&amp;Parameters'!$B$17,ConcentrationsCalculations!I236+1,IF(I236="DS Node","",IF(I236="","","DS Node")))</f>
        <v/>
      </c>
      <c r="J237" s="13" t="str">
        <f>IF(I237="DS Node",'Characteristics&amp;Parameters'!$B$8,IF(I237&lt;='Characteristics&amp;Parameters'!$B$17,((1-'Characteristics&amp;Parameters'!$B$19)*ConcentrationsCalculations!F237+'Characteristics&amp;Parameters'!$B$19*ConcentrationsCalculations!F236-F237/86400*'Characteristics&amp;Parameters'!$B$11*'Characteristics&amp;Parameters'!$B$12),""))</f>
        <v/>
      </c>
    </row>
    <row r="238" spans="1:10" x14ac:dyDescent="0.5">
      <c r="A238" s="7" t="str">
        <f>IF(A237&lt;'Characteristics&amp;Parameters'!$B$17,ConcentrationsCalculations!A237+1,IF(A237="DS Node","",IF(A237="","","DS Node")))</f>
        <v/>
      </c>
      <c r="B238" s="8" t="str">
        <f>IF(A238&lt;='Characteristics&amp;Parameters'!$B$17,'Characteristics&amp;Parameters'!$B$7,IF(ConcentrationsCalculations!A238="DS Node",'Characteristics&amp;Parameters'!$B$8,""))</f>
        <v/>
      </c>
      <c r="C238" s="8"/>
      <c r="E238" s="7" t="s">
        <v>25</v>
      </c>
      <c r="F238" s="8" t="s">
        <v>25</v>
      </c>
      <c r="I238" s="7" t="str">
        <f>IF(I237&lt;'Characteristics&amp;Parameters'!$B$17,ConcentrationsCalculations!I237+1,IF(I237="DS Node","",IF(I237="","","DS Node")))</f>
        <v/>
      </c>
      <c r="J238" s="13" t="str">
        <f>IF(I238="DS Node",'Characteristics&amp;Parameters'!$B$8,IF(I238&lt;='Characteristics&amp;Parameters'!$B$17,((1-'Characteristics&amp;Parameters'!$B$19)*ConcentrationsCalculations!F238+'Characteristics&amp;Parameters'!$B$19*ConcentrationsCalculations!F237-F238/86400*'Characteristics&amp;Parameters'!$B$11*'Characteristics&amp;Parameters'!$B$12),""))</f>
        <v/>
      </c>
    </row>
    <row r="239" spans="1:10" x14ac:dyDescent="0.5">
      <c r="A239" s="7" t="str">
        <f>IF(A238&lt;'Characteristics&amp;Parameters'!$B$17,ConcentrationsCalculations!A238+1,IF(A238="DS Node","",IF(A238="","","DS Node")))</f>
        <v/>
      </c>
      <c r="B239" s="8" t="str">
        <f>IF(A239&lt;='Characteristics&amp;Parameters'!$B$17,'Characteristics&amp;Parameters'!$B$7,IF(ConcentrationsCalculations!A239="DS Node",'Characteristics&amp;Parameters'!$B$8,""))</f>
        <v/>
      </c>
      <c r="C239" s="8"/>
      <c r="E239" s="7" t="s">
        <v>25</v>
      </c>
      <c r="F239" s="8" t="s">
        <v>25</v>
      </c>
      <c r="I239" s="7" t="str">
        <f>IF(I238&lt;'Characteristics&amp;Parameters'!$B$17,ConcentrationsCalculations!I238+1,IF(I238="DS Node","",IF(I238="","","DS Node")))</f>
        <v/>
      </c>
      <c r="J239" s="13" t="str">
        <f>IF(I239="DS Node",'Characteristics&amp;Parameters'!$B$8,IF(I239&lt;='Characteristics&amp;Parameters'!$B$17,((1-'Characteristics&amp;Parameters'!$B$19)*ConcentrationsCalculations!F239+'Characteristics&amp;Parameters'!$B$19*ConcentrationsCalculations!F238-F239/86400*'Characteristics&amp;Parameters'!$B$11*'Characteristics&amp;Parameters'!$B$12),""))</f>
        <v/>
      </c>
    </row>
    <row r="240" spans="1:10" x14ac:dyDescent="0.5">
      <c r="A240" s="7" t="str">
        <f>IF(A239&lt;'Characteristics&amp;Parameters'!$B$17,ConcentrationsCalculations!A239+1,IF(A239="DS Node","",IF(A239="","","DS Node")))</f>
        <v/>
      </c>
      <c r="B240" s="8" t="str">
        <f>IF(A240&lt;='Characteristics&amp;Parameters'!$B$17,'Characteristics&amp;Parameters'!$B$7,IF(ConcentrationsCalculations!A240="DS Node",'Characteristics&amp;Parameters'!$B$8,""))</f>
        <v/>
      </c>
      <c r="C240" s="8"/>
      <c r="E240" s="7" t="s">
        <v>25</v>
      </c>
      <c r="F240" s="8" t="s">
        <v>25</v>
      </c>
      <c r="I240" s="7" t="str">
        <f>IF(I239&lt;'Characteristics&amp;Parameters'!$B$17,ConcentrationsCalculations!I239+1,IF(I239="DS Node","",IF(I239="","","DS Node")))</f>
        <v/>
      </c>
      <c r="J240" s="13" t="str">
        <f>IF(I240="DS Node",'Characteristics&amp;Parameters'!$B$8,IF(I240&lt;='Characteristics&amp;Parameters'!$B$17,((1-'Characteristics&amp;Parameters'!$B$19)*ConcentrationsCalculations!F240+'Characteristics&amp;Parameters'!$B$19*ConcentrationsCalculations!F239-F240/86400*'Characteristics&amp;Parameters'!$B$11*'Characteristics&amp;Parameters'!$B$12),""))</f>
        <v/>
      </c>
    </row>
    <row r="241" spans="1:10" x14ac:dyDescent="0.5">
      <c r="A241" s="7" t="str">
        <f>IF(A240&lt;'Characteristics&amp;Parameters'!$B$17,ConcentrationsCalculations!A240+1,IF(A240="DS Node","",IF(A240="","","DS Node")))</f>
        <v/>
      </c>
      <c r="B241" s="8" t="str">
        <f>IF(A241&lt;='Characteristics&amp;Parameters'!$B$17,'Characteristics&amp;Parameters'!$B$7,IF(ConcentrationsCalculations!A241="DS Node",'Characteristics&amp;Parameters'!$B$8,""))</f>
        <v/>
      </c>
      <c r="C241" s="8"/>
      <c r="E241" s="7" t="s">
        <v>25</v>
      </c>
      <c r="F241" s="8" t="s">
        <v>25</v>
      </c>
      <c r="I241" s="7" t="str">
        <f>IF(I240&lt;'Characteristics&amp;Parameters'!$B$17,ConcentrationsCalculations!I240+1,IF(I240="DS Node","",IF(I240="","","DS Node")))</f>
        <v/>
      </c>
      <c r="J241" s="13" t="str">
        <f>IF(I241="DS Node",'Characteristics&amp;Parameters'!$B$8,IF(I241&lt;='Characteristics&amp;Parameters'!$B$17,((1-'Characteristics&amp;Parameters'!$B$19)*ConcentrationsCalculations!F241+'Characteristics&amp;Parameters'!$B$19*ConcentrationsCalculations!F240-F241/86400*'Characteristics&amp;Parameters'!$B$11*'Characteristics&amp;Parameters'!$B$12),""))</f>
        <v/>
      </c>
    </row>
    <row r="242" spans="1:10" x14ac:dyDescent="0.5">
      <c r="A242" s="7" t="str">
        <f>IF(A241&lt;'Characteristics&amp;Parameters'!$B$17,ConcentrationsCalculations!A241+1,IF(A241="DS Node","",IF(A241="","","DS Node")))</f>
        <v/>
      </c>
      <c r="B242" s="8" t="str">
        <f>IF(A242&lt;='Characteristics&amp;Parameters'!$B$17,'Characteristics&amp;Parameters'!$B$7,IF(ConcentrationsCalculations!A242="DS Node",'Characteristics&amp;Parameters'!$B$8,""))</f>
        <v/>
      </c>
      <c r="C242" s="8"/>
      <c r="E242" s="7" t="s">
        <v>25</v>
      </c>
      <c r="F242" s="8" t="s">
        <v>25</v>
      </c>
      <c r="I242" s="7" t="str">
        <f>IF(I241&lt;'Characteristics&amp;Parameters'!$B$17,ConcentrationsCalculations!I241+1,IF(I241="DS Node","",IF(I241="","","DS Node")))</f>
        <v/>
      </c>
      <c r="J242" s="13" t="str">
        <f>IF(I242="DS Node",'Characteristics&amp;Parameters'!$B$8,IF(I242&lt;='Characteristics&amp;Parameters'!$B$17,((1-'Characteristics&amp;Parameters'!$B$19)*ConcentrationsCalculations!F242+'Characteristics&amp;Parameters'!$B$19*ConcentrationsCalculations!F241-F242/86400*'Characteristics&amp;Parameters'!$B$11*'Characteristics&amp;Parameters'!$B$12),""))</f>
        <v/>
      </c>
    </row>
    <row r="243" spans="1:10" x14ac:dyDescent="0.5">
      <c r="A243" s="7" t="str">
        <f>IF(A242&lt;'Characteristics&amp;Parameters'!$B$17,ConcentrationsCalculations!A242+1,IF(A242="DS Node","",IF(A242="","","DS Node")))</f>
        <v/>
      </c>
      <c r="B243" s="8" t="str">
        <f>IF(A243&lt;='Characteristics&amp;Parameters'!$B$17,'Characteristics&amp;Parameters'!$B$7,IF(ConcentrationsCalculations!A243="DS Node",'Characteristics&amp;Parameters'!$B$8,""))</f>
        <v/>
      </c>
      <c r="C243" s="8"/>
      <c r="E243" s="7" t="s">
        <v>25</v>
      </c>
      <c r="F243" s="8" t="s">
        <v>25</v>
      </c>
      <c r="I243" s="7" t="str">
        <f>IF(I242&lt;'Characteristics&amp;Parameters'!$B$17,ConcentrationsCalculations!I242+1,IF(I242="DS Node","",IF(I242="","","DS Node")))</f>
        <v/>
      </c>
      <c r="J243" s="13" t="str">
        <f>IF(I243="DS Node",'Characteristics&amp;Parameters'!$B$8,IF(I243&lt;='Characteristics&amp;Parameters'!$B$17,((1-'Characteristics&amp;Parameters'!$B$19)*ConcentrationsCalculations!F243+'Characteristics&amp;Parameters'!$B$19*ConcentrationsCalculations!F242-F243/86400*'Characteristics&amp;Parameters'!$B$11*'Characteristics&amp;Parameters'!$B$12),""))</f>
        <v/>
      </c>
    </row>
    <row r="244" spans="1:10" x14ac:dyDescent="0.5">
      <c r="A244" s="7" t="str">
        <f>IF(A243&lt;'Characteristics&amp;Parameters'!$B$17,ConcentrationsCalculations!A243+1,IF(A243="DS Node","",IF(A243="","","DS Node")))</f>
        <v/>
      </c>
      <c r="B244" s="8" t="str">
        <f>IF(A244&lt;='Characteristics&amp;Parameters'!$B$17,'Characteristics&amp;Parameters'!$B$7,IF(ConcentrationsCalculations!A244="DS Node",'Characteristics&amp;Parameters'!$B$8,""))</f>
        <v/>
      </c>
      <c r="C244" s="8"/>
      <c r="E244" s="7" t="s">
        <v>25</v>
      </c>
      <c r="F244" s="8" t="s">
        <v>25</v>
      </c>
      <c r="I244" s="7" t="str">
        <f>IF(I243&lt;'Characteristics&amp;Parameters'!$B$17,ConcentrationsCalculations!I243+1,IF(I243="DS Node","",IF(I243="","","DS Node")))</f>
        <v/>
      </c>
      <c r="J244" s="13" t="str">
        <f>IF(I244="DS Node",'Characteristics&amp;Parameters'!$B$8,IF(I244&lt;='Characteristics&amp;Parameters'!$B$17,((1-'Characteristics&amp;Parameters'!$B$19)*ConcentrationsCalculations!F244+'Characteristics&amp;Parameters'!$B$19*ConcentrationsCalculations!F243-F244/86400*'Characteristics&amp;Parameters'!$B$11*'Characteristics&amp;Parameters'!$B$12),""))</f>
        <v/>
      </c>
    </row>
    <row r="245" spans="1:10" x14ac:dyDescent="0.5">
      <c r="A245" s="7" t="str">
        <f>IF(A244&lt;'Characteristics&amp;Parameters'!$B$17,ConcentrationsCalculations!A244+1,IF(A244="DS Node","",IF(A244="","","DS Node")))</f>
        <v/>
      </c>
      <c r="B245" s="8" t="str">
        <f>IF(A245&lt;='Characteristics&amp;Parameters'!$B$17,'Characteristics&amp;Parameters'!$B$7,IF(ConcentrationsCalculations!A245="DS Node",'Characteristics&amp;Parameters'!$B$8,""))</f>
        <v/>
      </c>
      <c r="C245" s="8"/>
      <c r="E245" s="7" t="s">
        <v>25</v>
      </c>
      <c r="F245" s="8" t="s">
        <v>25</v>
      </c>
      <c r="I245" s="7" t="str">
        <f>IF(I244&lt;'Characteristics&amp;Parameters'!$B$17,ConcentrationsCalculations!I244+1,IF(I244="DS Node","",IF(I244="","","DS Node")))</f>
        <v/>
      </c>
      <c r="J245" s="13" t="str">
        <f>IF(I245="DS Node",'Characteristics&amp;Parameters'!$B$8,IF(I245&lt;='Characteristics&amp;Parameters'!$B$17,((1-'Characteristics&amp;Parameters'!$B$19)*ConcentrationsCalculations!F245+'Characteristics&amp;Parameters'!$B$19*ConcentrationsCalculations!F244-F245/86400*'Characteristics&amp;Parameters'!$B$11*'Characteristics&amp;Parameters'!$B$12),""))</f>
        <v/>
      </c>
    </row>
    <row r="246" spans="1:10" x14ac:dyDescent="0.5">
      <c r="A246" s="7" t="str">
        <f>IF(A245&lt;'Characteristics&amp;Parameters'!$B$17,ConcentrationsCalculations!A245+1,IF(A245="DS Node","",IF(A245="","","DS Node")))</f>
        <v/>
      </c>
      <c r="B246" s="8" t="str">
        <f>IF(A246&lt;='Characteristics&amp;Parameters'!$B$17,'Characteristics&amp;Parameters'!$B$7,IF(ConcentrationsCalculations!A246="DS Node",'Characteristics&amp;Parameters'!$B$8,""))</f>
        <v/>
      </c>
      <c r="C246" s="8"/>
      <c r="E246" s="7" t="s">
        <v>25</v>
      </c>
      <c r="F246" s="8" t="s">
        <v>25</v>
      </c>
      <c r="I246" s="7" t="str">
        <f>IF(I245&lt;'Characteristics&amp;Parameters'!$B$17,ConcentrationsCalculations!I245+1,IF(I245="DS Node","",IF(I245="","","DS Node")))</f>
        <v/>
      </c>
      <c r="J246" s="13" t="str">
        <f>IF(I246="DS Node",'Characteristics&amp;Parameters'!$B$8,IF(I246&lt;='Characteristics&amp;Parameters'!$B$17,((1-'Characteristics&amp;Parameters'!$B$19)*ConcentrationsCalculations!F246+'Characteristics&amp;Parameters'!$B$19*ConcentrationsCalculations!F245-F246/86400*'Characteristics&amp;Parameters'!$B$11*'Characteristics&amp;Parameters'!$B$12),""))</f>
        <v/>
      </c>
    </row>
    <row r="247" spans="1:10" x14ac:dyDescent="0.5">
      <c r="A247" s="7" t="str">
        <f>IF(A246&lt;'Characteristics&amp;Parameters'!$B$17,ConcentrationsCalculations!A246+1,IF(A246="DS Node","",IF(A246="","","DS Node")))</f>
        <v/>
      </c>
      <c r="B247" s="8" t="str">
        <f>IF(A247&lt;='Characteristics&amp;Parameters'!$B$17,'Characteristics&amp;Parameters'!$B$7,IF(ConcentrationsCalculations!A247="DS Node",'Characteristics&amp;Parameters'!$B$8,""))</f>
        <v/>
      </c>
      <c r="C247" s="8"/>
      <c r="E247" s="7" t="s">
        <v>25</v>
      </c>
      <c r="F247" s="8" t="s">
        <v>25</v>
      </c>
      <c r="I247" s="7" t="str">
        <f>IF(I246&lt;'Characteristics&amp;Parameters'!$B$17,ConcentrationsCalculations!I246+1,IF(I246="DS Node","",IF(I246="","","DS Node")))</f>
        <v/>
      </c>
      <c r="J247" s="13" t="str">
        <f>IF(I247="DS Node",'Characteristics&amp;Parameters'!$B$8,IF(I247&lt;='Characteristics&amp;Parameters'!$B$17,((1-'Characteristics&amp;Parameters'!$B$19)*ConcentrationsCalculations!F247+'Characteristics&amp;Parameters'!$B$19*ConcentrationsCalculations!F246-F247/86400*'Characteristics&amp;Parameters'!$B$11*'Characteristics&amp;Parameters'!$B$12),""))</f>
        <v/>
      </c>
    </row>
    <row r="248" spans="1:10" x14ac:dyDescent="0.5">
      <c r="A248" s="7" t="str">
        <f>IF(A247&lt;'Characteristics&amp;Parameters'!$B$17,ConcentrationsCalculations!A247+1,IF(A247="DS Node","",IF(A247="","","DS Node")))</f>
        <v/>
      </c>
      <c r="B248" s="8" t="str">
        <f>IF(A248&lt;='Characteristics&amp;Parameters'!$B$17,'Characteristics&amp;Parameters'!$B$7,IF(ConcentrationsCalculations!A248="DS Node",'Characteristics&amp;Parameters'!$B$8,""))</f>
        <v/>
      </c>
      <c r="C248" s="8"/>
      <c r="E248" s="7" t="s">
        <v>25</v>
      </c>
      <c r="F248" s="8" t="s">
        <v>25</v>
      </c>
      <c r="I248" s="7" t="str">
        <f>IF(I247&lt;'Characteristics&amp;Parameters'!$B$17,ConcentrationsCalculations!I247+1,IF(I247="DS Node","",IF(I247="","","DS Node")))</f>
        <v/>
      </c>
      <c r="J248" s="13" t="str">
        <f>IF(I248="DS Node",'Characteristics&amp;Parameters'!$B$8,IF(I248&lt;='Characteristics&amp;Parameters'!$B$17,((1-'Characteristics&amp;Parameters'!$B$19)*ConcentrationsCalculations!F248+'Characteristics&amp;Parameters'!$B$19*ConcentrationsCalculations!F247-F248/86400*'Characteristics&amp;Parameters'!$B$11*'Characteristics&amp;Parameters'!$B$12),""))</f>
        <v/>
      </c>
    </row>
    <row r="249" spans="1:10" x14ac:dyDescent="0.5">
      <c r="A249" s="7" t="str">
        <f>IF(A248&lt;'Characteristics&amp;Parameters'!$B$17,ConcentrationsCalculations!A248+1,IF(A248="DS Node","",IF(A248="","","DS Node")))</f>
        <v/>
      </c>
      <c r="B249" s="8" t="str">
        <f>IF(A249&lt;='Characteristics&amp;Parameters'!$B$17,'Characteristics&amp;Parameters'!$B$7,IF(ConcentrationsCalculations!A249="DS Node",'Characteristics&amp;Parameters'!$B$8,""))</f>
        <v/>
      </c>
      <c r="C249" s="8"/>
      <c r="E249" s="7" t="s">
        <v>25</v>
      </c>
      <c r="F249" s="8" t="s">
        <v>25</v>
      </c>
      <c r="I249" s="7" t="str">
        <f>IF(I248&lt;'Characteristics&amp;Parameters'!$B$17,ConcentrationsCalculations!I248+1,IF(I248="DS Node","",IF(I248="","","DS Node")))</f>
        <v/>
      </c>
      <c r="J249" s="13" t="str">
        <f>IF(I249="DS Node",'Characteristics&amp;Parameters'!$B$8,IF(I249&lt;='Characteristics&amp;Parameters'!$B$17,((1-'Characteristics&amp;Parameters'!$B$19)*ConcentrationsCalculations!F249+'Characteristics&amp;Parameters'!$B$19*ConcentrationsCalculations!F248-F249/86400*'Characteristics&amp;Parameters'!$B$11*'Characteristics&amp;Parameters'!$B$12),""))</f>
        <v/>
      </c>
    </row>
    <row r="250" spans="1:10" x14ac:dyDescent="0.5">
      <c r="A250" s="7" t="str">
        <f>IF(A249&lt;'Characteristics&amp;Parameters'!$B$17,ConcentrationsCalculations!A249+1,IF(A249="DS Node","",IF(A249="","","DS Node")))</f>
        <v/>
      </c>
      <c r="B250" s="8" t="str">
        <f>IF(A250&lt;='Characteristics&amp;Parameters'!$B$17,'Characteristics&amp;Parameters'!$B$7,IF(ConcentrationsCalculations!A250="DS Node",'Characteristics&amp;Parameters'!$B$8,""))</f>
        <v/>
      </c>
      <c r="C250" s="8"/>
      <c r="E250" s="7" t="s">
        <v>25</v>
      </c>
      <c r="F250" s="8" t="s">
        <v>25</v>
      </c>
      <c r="I250" s="7" t="str">
        <f>IF(I249&lt;'Characteristics&amp;Parameters'!$B$17,ConcentrationsCalculations!I249+1,IF(I249="DS Node","",IF(I249="","","DS Node")))</f>
        <v/>
      </c>
      <c r="J250" s="13" t="str">
        <f>IF(I250="DS Node",'Characteristics&amp;Parameters'!$B$8,IF(I250&lt;='Characteristics&amp;Parameters'!$B$17,((1-'Characteristics&amp;Parameters'!$B$19)*ConcentrationsCalculations!F250+'Characteristics&amp;Parameters'!$B$19*ConcentrationsCalculations!F249-F250/86400*'Characteristics&amp;Parameters'!$B$11*'Characteristics&amp;Parameters'!$B$12),""))</f>
        <v/>
      </c>
    </row>
    <row r="251" spans="1:10" x14ac:dyDescent="0.5">
      <c r="A251" s="7" t="str">
        <f>IF(A250&lt;'Characteristics&amp;Parameters'!$B$17,ConcentrationsCalculations!A250+1,IF(A250="DS Node","",IF(A250="","","DS Node")))</f>
        <v/>
      </c>
      <c r="B251" s="8" t="str">
        <f>IF(A251&lt;='Characteristics&amp;Parameters'!$B$17,'Characteristics&amp;Parameters'!$B$7,IF(ConcentrationsCalculations!A251="DS Node",'Characteristics&amp;Parameters'!$B$8,""))</f>
        <v/>
      </c>
      <c r="C251" s="8"/>
      <c r="E251" s="7" t="s">
        <v>25</v>
      </c>
      <c r="F251" s="8" t="s">
        <v>25</v>
      </c>
      <c r="I251" s="7" t="str">
        <f>IF(I250&lt;'Characteristics&amp;Parameters'!$B$17,ConcentrationsCalculations!I250+1,IF(I250="DS Node","",IF(I250="","","DS Node")))</f>
        <v/>
      </c>
      <c r="J251" s="13" t="str">
        <f>IF(I251="DS Node",'Characteristics&amp;Parameters'!$B$8,IF(I251&lt;='Characteristics&amp;Parameters'!$B$17,((1-'Characteristics&amp;Parameters'!$B$19)*ConcentrationsCalculations!F251+'Characteristics&amp;Parameters'!$B$19*ConcentrationsCalculations!F250-F251/86400*'Characteristics&amp;Parameters'!$B$11*'Characteristics&amp;Parameters'!$B$12),""))</f>
        <v/>
      </c>
    </row>
    <row r="252" spans="1:10" x14ac:dyDescent="0.5">
      <c r="A252" s="7" t="str">
        <f>IF(A251&lt;'Characteristics&amp;Parameters'!$B$17,ConcentrationsCalculations!A251+1,IF(A251="DS Node","",IF(A251="","","DS Node")))</f>
        <v/>
      </c>
      <c r="B252" s="8" t="str">
        <f>IF(A252&lt;='Characteristics&amp;Parameters'!$B$17,'Characteristics&amp;Parameters'!$B$7,IF(ConcentrationsCalculations!A252="DS Node",'Characteristics&amp;Parameters'!$B$8,""))</f>
        <v/>
      </c>
      <c r="C252" s="8"/>
      <c r="E252" s="7" t="s">
        <v>25</v>
      </c>
      <c r="F252" s="8" t="s">
        <v>25</v>
      </c>
      <c r="I252" s="7" t="str">
        <f>IF(I251&lt;'Characteristics&amp;Parameters'!$B$17,ConcentrationsCalculations!I251+1,IF(I251="DS Node","",IF(I251="","","DS Node")))</f>
        <v/>
      </c>
      <c r="J252" s="13" t="str">
        <f>IF(I252="DS Node",'Characteristics&amp;Parameters'!$B$8,IF(I252&lt;='Characteristics&amp;Parameters'!$B$17,((1-'Characteristics&amp;Parameters'!$B$19)*ConcentrationsCalculations!F252+'Characteristics&amp;Parameters'!$B$19*ConcentrationsCalculations!F251-F252/86400*'Characteristics&amp;Parameters'!$B$11*'Characteristics&amp;Parameters'!$B$12),""))</f>
        <v/>
      </c>
    </row>
    <row r="253" spans="1:10" x14ac:dyDescent="0.5">
      <c r="A253" s="7" t="str">
        <f>IF(A252&lt;'Characteristics&amp;Parameters'!$B$17,ConcentrationsCalculations!A252+1,IF(A252="DS Node","",IF(A252="","","DS Node")))</f>
        <v/>
      </c>
      <c r="B253" s="8" t="str">
        <f>IF(A253&lt;='Characteristics&amp;Parameters'!$B$17,'Characteristics&amp;Parameters'!$B$7,IF(ConcentrationsCalculations!A253="DS Node",'Characteristics&amp;Parameters'!$B$8,""))</f>
        <v/>
      </c>
      <c r="C253" s="8"/>
      <c r="E253" s="7" t="s">
        <v>25</v>
      </c>
      <c r="F253" s="8" t="s">
        <v>25</v>
      </c>
      <c r="I253" s="7" t="str">
        <f>IF(I252&lt;'Characteristics&amp;Parameters'!$B$17,ConcentrationsCalculations!I252+1,IF(I252="DS Node","",IF(I252="","","DS Node")))</f>
        <v/>
      </c>
      <c r="J253" s="13" t="str">
        <f>IF(I253="DS Node",'Characteristics&amp;Parameters'!$B$8,IF(I253&lt;='Characteristics&amp;Parameters'!$B$17,((1-'Characteristics&amp;Parameters'!$B$19)*ConcentrationsCalculations!F253+'Characteristics&amp;Parameters'!$B$19*ConcentrationsCalculations!F252-F253/86400*'Characteristics&amp;Parameters'!$B$11*'Characteristics&amp;Parameters'!$B$12),""))</f>
        <v/>
      </c>
    </row>
    <row r="254" spans="1:10" x14ac:dyDescent="0.5">
      <c r="A254" s="7" t="str">
        <f>IF(A253&lt;'Characteristics&amp;Parameters'!$B$17,ConcentrationsCalculations!A253+1,IF(A253="DS Node","",IF(A253="","","DS Node")))</f>
        <v/>
      </c>
      <c r="B254" s="8" t="str">
        <f>IF(A254&lt;='Characteristics&amp;Parameters'!$B$17,'Characteristics&amp;Parameters'!$B$7,IF(ConcentrationsCalculations!A254="DS Node",'Characteristics&amp;Parameters'!$B$8,""))</f>
        <v/>
      </c>
      <c r="C254" s="8"/>
      <c r="E254" s="7" t="s">
        <v>25</v>
      </c>
      <c r="F254" s="8" t="s">
        <v>25</v>
      </c>
      <c r="I254" s="7" t="str">
        <f>IF(I253&lt;'Characteristics&amp;Parameters'!$B$17,ConcentrationsCalculations!I253+1,IF(I253="DS Node","",IF(I253="","","DS Node")))</f>
        <v/>
      </c>
      <c r="J254" s="13" t="str">
        <f>IF(I254="DS Node",'Characteristics&amp;Parameters'!$B$8,IF(I254&lt;='Characteristics&amp;Parameters'!$B$17,((1-'Characteristics&amp;Parameters'!$B$19)*ConcentrationsCalculations!F254+'Characteristics&amp;Parameters'!$B$19*ConcentrationsCalculations!F253-F254/86400*'Characteristics&amp;Parameters'!$B$11*'Characteristics&amp;Parameters'!$B$12),""))</f>
        <v/>
      </c>
    </row>
    <row r="255" spans="1:10" x14ac:dyDescent="0.5">
      <c r="A255" s="7" t="str">
        <f>IF(A254&lt;'Characteristics&amp;Parameters'!$B$17,ConcentrationsCalculations!A254+1,IF(A254="DS Node","",IF(A254="","","DS Node")))</f>
        <v/>
      </c>
      <c r="B255" s="8" t="str">
        <f>IF(A255&lt;='Characteristics&amp;Parameters'!$B$17,'Characteristics&amp;Parameters'!$B$7,IF(ConcentrationsCalculations!A255="DS Node",'Characteristics&amp;Parameters'!$B$8,""))</f>
        <v/>
      </c>
      <c r="C255" s="8"/>
      <c r="E255" s="7" t="s">
        <v>25</v>
      </c>
      <c r="F255" s="8" t="s">
        <v>25</v>
      </c>
      <c r="I255" s="7" t="str">
        <f>IF(I254&lt;'Characteristics&amp;Parameters'!$B$17,ConcentrationsCalculations!I254+1,IF(I254="DS Node","",IF(I254="","","DS Node")))</f>
        <v/>
      </c>
      <c r="J255" s="13" t="str">
        <f>IF(I255="DS Node",'Characteristics&amp;Parameters'!$B$8,IF(I255&lt;='Characteristics&amp;Parameters'!$B$17,((1-'Characteristics&amp;Parameters'!$B$19)*ConcentrationsCalculations!F255+'Characteristics&amp;Parameters'!$B$19*ConcentrationsCalculations!F254-F255/86400*'Characteristics&amp;Parameters'!$B$11*'Characteristics&amp;Parameters'!$B$12),""))</f>
        <v/>
      </c>
    </row>
    <row r="256" spans="1:10" x14ac:dyDescent="0.5">
      <c r="A256" s="7" t="str">
        <f>IF(A255&lt;'Characteristics&amp;Parameters'!$B$17,ConcentrationsCalculations!A255+1,IF(A255="DS Node","",IF(A255="","","DS Node")))</f>
        <v/>
      </c>
      <c r="B256" s="8" t="str">
        <f>IF(A256&lt;='Characteristics&amp;Parameters'!$B$17,'Characteristics&amp;Parameters'!$B$7,IF(ConcentrationsCalculations!A256="DS Node",'Characteristics&amp;Parameters'!$B$8,""))</f>
        <v/>
      </c>
      <c r="C256" s="8"/>
      <c r="E256" s="7" t="s">
        <v>25</v>
      </c>
      <c r="F256" s="8" t="s">
        <v>25</v>
      </c>
      <c r="I256" s="7" t="str">
        <f>IF(I255&lt;'Characteristics&amp;Parameters'!$B$17,ConcentrationsCalculations!I255+1,IF(I255="DS Node","",IF(I255="","","DS Node")))</f>
        <v/>
      </c>
      <c r="J256" s="13" t="str">
        <f>IF(I256="DS Node",'Characteristics&amp;Parameters'!$B$8,IF(I256&lt;='Characteristics&amp;Parameters'!$B$17,((1-'Characteristics&amp;Parameters'!$B$19)*ConcentrationsCalculations!F256+'Characteristics&amp;Parameters'!$B$19*ConcentrationsCalculations!F255-F256/86400*'Characteristics&amp;Parameters'!$B$11*'Characteristics&amp;Parameters'!$B$12),""))</f>
        <v/>
      </c>
    </row>
    <row r="257" spans="1:10" x14ac:dyDescent="0.5">
      <c r="A257" s="7" t="str">
        <f>IF(A256&lt;'Characteristics&amp;Parameters'!$B$17,ConcentrationsCalculations!A256+1,IF(A256="DS Node","",IF(A256="","","DS Node")))</f>
        <v/>
      </c>
      <c r="B257" s="8" t="str">
        <f>IF(A257&lt;='Characteristics&amp;Parameters'!$B$17,'Characteristics&amp;Parameters'!$B$7,IF(ConcentrationsCalculations!A257="DS Node",'Characteristics&amp;Parameters'!$B$8,""))</f>
        <v/>
      </c>
      <c r="C257" s="8"/>
      <c r="E257" s="7" t="s">
        <v>25</v>
      </c>
      <c r="F257" s="8" t="s">
        <v>25</v>
      </c>
      <c r="I257" s="7" t="str">
        <f>IF(I256&lt;'Characteristics&amp;Parameters'!$B$17,ConcentrationsCalculations!I256+1,IF(I256="DS Node","",IF(I256="","","DS Node")))</f>
        <v/>
      </c>
      <c r="J257" s="13" t="str">
        <f>IF(I257="DS Node",'Characteristics&amp;Parameters'!$B$8,IF(I257&lt;='Characteristics&amp;Parameters'!$B$17,((1-'Characteristics&amp;Parameters'!$B$19)*ConcentrationsCalculations!F257+'Characteristics&amp;Parameters'!$B$19*ConcentrationsCalculations!F256-F257/86400*'Characteristics&amp;Parameters'!$B$11*'Characteristics&amp;Parameters'!$B$12),""))</f>
        <v/>
      </c>
    </row>
    <row r="258" spans="1:10" x14ac:dyDescent="0.5">
      <c r="A258" s="7" t="str">
        <f>IF(A257&lt;'Characteristics&amp;Parameters'!$B$17,ConcentrationsCalculations!A257+1,IF(A257="DS Node","",IF(A257="","","DS Node")))</f>
        <v/>
      </c>
      <c r="B258" s="8" t="str">
        <f>IF(A258&lt;='Characteristics&amp;Parameters'!$B$17,'Characteristics&amp;Parameters'!$B$7,IF(ConcentrationsCalculations!A258="DS Node",'Characteristics&amp;Parameters'!$B$8,""))</f>
        <v/>
      </c>
      <c r="C258" s="8"/>
      <c r="E258" s="7" t="s">
        <v>25</v>
      </c>
      <c r="F258" s="8" t="s">
        <v>25</v>
      </c>
      <c r="I258" s="7" t="str">
        <f>IF(I257&lt;'Characteristics&amp;Parameters'!$B$17,ConcentrationsCalculations!I257+1,IF(I257="DS Node","",IF(I257="","","DS Node")))</f>
        <v/>
      </c>
      <c r="J258" s="13" t="str">
        <f>IF(I258="DS Node",'Characteristics&amp;Parameters'!$B$8,IF(I258&lt;='Characteristics&amp;Parameters'!$B$17,((1-'Characteristics&amp;Parameters'!$B$19)*ConcentrationsCalculations!F258+'Characteristics&amp;Parameters'!$B$19*ConcentrationsCalculations!F257-F258/86400*'Characteristics&amp;Parameters'!$B$11*'Characteristics&amp;Parameters'!$B$12),""))</f>
        <v/>
      </c>
    </row>
    <row r="259" spans="1:10" x14ac:dyDescent="0.5">
      <c r="A259" s="7" t="str">
        <f>IF(A258&lt;'Characteristics&amp;Parameters'!$B$17,ConcentrationsCalculations!A258+1,IF(A258="DS Node","",IF(A258="","","DS Node")))</f>
        <v/>
      </c>
      <c r="B259" s="8" t="str">
        <f>IF(A259&lt;='Characteristics&amp;Parameters'!$B$17,'Characteristics&amp;Parameters'!$B$7,IF(ConcentrationsCalculations!A259="DS Node",'Characteristics&amp;Parameters'!$B$8,""))</f>
        <v/>
      </c>
      <c r="C259" s="8"/>
      <c r="E259" s="7" t="s">
        <v>25</v>
      </c>
      <c r="F259" s="8" t="s">
        <v>25</v>
      </c>
      <c r="I259" s="7" t="str">
        <f>IF(I258&lt;'Characteristics&amp;Parameters'!$B$17,ConcentrationsCalculations!I258+1,IF(I258="DS Node","",IF(I258="","","DS Node")))</f>
        <v/>
      </c>
      <c r="J259" s="13" t="str">
        <f>IF(I259="DS Node",'Characteristics&amp;Parameters'!$B$8,IF(I259&lt;='Characteristics&amp;Parameters'!$B$17,((1-'Characteristics&amp;Parameters'!$B$19)*ConcentrationsCalculations!F259+'Characteristics&amp;Parameters'!$B$19*ConcentrationsCalculations!F258-F259/86400*'Characteristics&amp;Parameters'!$B$11*'Characteristics&amp;Parameters'!$B$12),""))</f>
        <v/>
      </c>
    </row>
    <row r="260" spans="1:10" x14ac:dyDescent="0.5">
      <c r="A260" s="7" t="str">
        <f>IF(A259&lt;'Characteristics&amp;Parameters'!$B$17,ConcentrationsCalculations!A259+1,IF(A259="DS Node","",IF(A259="","","DS Node")))</f>
        <v/>
      </c>
      <c r="B260" s="8" t="str">
        <f>IF(A260&lt;='Characteristics&amp;Parameters'!$B$17,'Characteristics&amp;Parameters'!$B$7,IF(ConcentrationsCalculations!A260="DS Node",'Characteristics&amp;Parameters'!$B$8,""))</f>
        <v/>
      </c>
      <c r="C260" s="8"/>
      <c r="E260" s="7" t="s">
        <v>25</v>
      </c>
      <c r="F260" s="8" t="s">
        <v>25</v>
      </c>
      <c r="I260" s="7" t="str">
        <f>IF(I259&lt;'Characteristics&amp;Parameters'!$B$17,ConcentrationsCalculations!I259+1,IF(I259="DS Node","",IF(I259="","","DS Node")))</f>
        <v/>
      </c>
      <c r="J260" s="13" t="str">
        <f>IF(I260="DS Node",'Characteristics&amp;Parameters'!$B$8,IF(I260&lt;='Characteristics&amp;Parameters'!$B$17,((1-'Characteristics&amp;Parameters'!$B$19)*ConcentrationsCalculations!F260+'Characteristics&amp;Parameters'!$B$19*ConcentrationsCalculations!F259-F260/86400*'Characteristics&amp;Parameters'!$B$11*'Characteristics&amp;Parameters'!$B$12),""))</f>
        <v/>
      </c>
    </row>
    <row r="261" spans="1:10" x14ac:dyDescent="0.5">
      <c r="A261" s="7" t="str">
        <f>IF(A260&lt;'Characteristics&amp;Parameters'!$B$17,ConcentrationsCalculations!A260+1,IF(A260="DS Node","",IF(A260="","","DS Node")))</f>
        <v/>
      </c>
      <c r="B261" s="8" t="str">
        <f>IF(A261&lt;='Characteristics&amp;Parameters'!$B$17,'Characteristics&amp;Parameters'!$B$7,IF(ConcentrationsCalculations!A261="DS Node",'Characteristics&amp;Parameters'!$B$8,""))</f>
        <v/>
      </c>
      <c r="C261" s="8"/>
      <c r="E261" s="7" t="s">
        <v>25</v>
      </c>
      <c r="F261" s="8" t="s">
        <v>25</v>
      </c>
      <c r="I261" s="7" t="str">
        <f>IF(I260&lt;'Characteristics&amp;Parameters'!$B$17,ConcentrationsCalculations!I260+1,IF(I260="DS Node","",IF(I260="","","DS Node")))</f>
        <v/>
      </c>
      <c r="J261" s="13" t="str">
        <f>IF(I261="DS Node",'Characteristics&amp;Parameters'!$B$8,IF(I261&lt;='Characteristics&amp;Parameters'!$B$17,((1-'Characteristics&amp;Parameters'!$B$19)*ConcentrationsCalculations!F261+'Characteristics&amp;Parameters'!$B$19*ConcentrationsCalculations!F260-F261/86400*'Characteristics&amp;Parameters'!$B$11*'Characteristics&amp;Parameters'!$B$12),""))</f>
        <v/>
      </c>
    </row>
    <row r="262" spans="1:10" x14ac:dyDescent="0.5">
      <c r="A262" s="7" t="str">
        <f>IF(A261&lt;'Characteristics&amp;Parameters'!$B$17,ConcentrationsCalculations!A261+1,IF(A261="DS Node","",IF(A261="","","DS Node")))</f>
        <v/>
      </c>
      <c r="B262" s="8" t="str">
        <f>IF(A262&lt;='Characteristics&amp;Parameters'!$B$17,'Characteristics&amp;Parameters'!$B$7,IF(ConcentrationsCalculations!A262="DS Node",'Characteristics&amp;Parameters'!$B$8,""))</f>
        <v/>
      </c>
      <c r="C262" s="8"/>
      <c r="E262" s="7" t="s">
        <v>25</v>
      </c>
      <c r="F262" s="8" t="s">
        <v>25</v>
      </c>
      <c r="I262" s="7" t="str">
        <f>IF(I261&lt;'Characteristics&amp;Parameters'!$B$17,ConcentrationsCalculations!I261+1,IF(I261="DS Node","",IF(I261="","","DS Node")))</f>
        <v/>
      </c>
      <c r="J262" s="13" t="str">
        <f>IF(I262="DS Node",'Characteristics&amp;Parameters'!$B$8,IF(I262&lt;='Characteristics&amp;Parameters'!$B$17,((1-'Characteristics&amp;Parameters'!$B$19)*ConcentrationsCalculations!F262+'Characteristics&amp;Parameters'!$B$19*ConcentrationsCalculations!F261-F262/86400*'Characteristics&amp;Parameters'!$B$11*'Characteristics&amp;Parameters'!$B$12),""))</f>
        <v/>
      </c>
    </row>
    <row r="263" spans="1:10" x14ac:dyDescent="0.5">
      <c r="A263" s="7" t="str">
        <f>IF(A262&lt;'Characteristics&amp;Parameters'!$B$17,ConcentrationsCalculations!A262+1,IF(A262="DS Node","",IF(A262="","","DS Node")))</f>
        <v/>
      </c>
      <c r="B263" s="8" t="str">
        <f>IF(A263&lt;='Characteristics&amp;Parameters'!$B$17,'Characteristics&amp;Parameters'!$B$7,IF(ConcentrationsCalculations!A263="DS Node",'Characteristics&amp;Parameters'!$B$8,""))</f>
        <v/>
      </c>
      <c r="C263" s="8"/>
      <c r="E263" s="7" t="s">
        <v>25</v>
      </c>
      <c r="F263" s="8" t="s">
        <v>25</v>
      </c>
      <c r="I263" s="7" t="str">
        <f>IF(I262&lt;'Characteristics&amp;Parameters'!$B$17,ConcentrationsCalculations!I262+1,IF(I262="DS Node","",IF(I262="","","DS Node")))</f>
        <v/>
      </c>
      <c r="J263" s="13" t="str">
        <f>IF(I263="DS Node",'Characteristics&amp;Parameters'!$B$8,IF(I263&lt;='Characteristics&amp;Parameters'!$B$17,((1-'Characteristics&amp;Parameters'!$B$19)*ConcentrationsCalculations!F263+'Characteristics&amp;Parameters'!$B$19*ConcentrationsCalculations!F262-F263/86400*'Characteristics&amp;Parameters'!$B$11*'Characteristics&amp;Parameters'!$B$12),""))</f>
        <v/>
      </c>
    </row>
    <row r="264" spans="1:10" x14ac:dyDescent="0.5">
      <c r="A264" s="7" t="str">
        <f>IF(A263&lt;'Characteristics&amp;Parameters'!$B$17,ConcentrationsCalculations!A263+1,IF(A263="DS Node","",IF(A263="","","DS Node")))</f>
        <v/>
      </c>
      <c r="B264" s="8" t="str">
        <f>IF(A264&lt;='Characteristics&amp;Parameters'!$B$17,'Characteristics&amp;Parameters'!$B$7,IF(ConcentrationsCalculations!A264="DS Node",'Characteristics&amp;Parameters'!$B$8,""))</f>
        <v/>
      </c>
      <c r="C264" s="8"/>
      <c r="E264" s="7" t="s">
        <v>25</v>
      </c>
      <c r="F264" s="8" t="s">
        <v>25</v>
      </c>
      <c r="I264" s="7" t="str">
        <f>IF(I263&lt;'Characteristics&amp;Parameters'!$B$17,ConcentrationsCalculations!I263+1,IF(I263="DS Node","",IF(I263="","","DS Node")))</f>
        <v/>
      </c>
      <c r="J264" s="13" t="str">
        <f>IF(I264="DS Node",'Characteristics&amp;Parameters'!$B$8,IF(I264&lt;='Characteristics&amp;Parameters'!$B$17,((1-'Characteristics&amp;Parameters'!$B$19)*ConcentrationsCalculations!F264+'Characteristics&amp;Parameters'!$B$19*ConcentrationsCalculations!F263-F264/86400*'Characteristics&amp;Parameters'!$B$11*'Characteristics&amp;Parameters'!$B$12),""))</f>
        <v/>
      </c>
    </row>
    <row r="265" spans="1:10" x14ac:dyDescent="0.5">
      <c r="A265" s="7" t="str">
        <f>IF(A264&lt;'Characteristics&amp;Parameters'!$B$17,ConcentrationsCalculations!A264+1,IF(A264="DS Node","",IF(A264="","","DS Node")))</f>
        <v/>
      </c>
      <c r="B265" s="8" t="str">
        <f>IF(A265&lt;='Characteristics&amp;Parameters'!$B$17,'Characteristics&amp;Parameters'!$B$7,IF(ConcentrationsCalculations!A265="DS Node",'Characteristics&amp;Parameters'!$B$8,""))</f>
        <v/>
      </c>
      <c r="C265" s="8"/>
      <c r="E265" s="7" t="s">
        <v>25</v>
      </c>
      <c r="F265" s="8" t="s">
        <v>25</v>
      </c>
      <c r="I265" s="7" t="str">
        <f>IF(I264&lt;'Characteristics&amp;Parameters'!$B$17,ConcentrationsCalculations!I264+1,IF(I264="DS Node","",IF(I264="","","DS Node")))</f>
        <v/>
      </c>
      <c r="J265" s="13" t="str">
        <f>IF(I265="DS Node",'Characteristics&amp;Parameters'!$B$8,IF(I265&lt;='Characteristics&amp;Parameters'!$B$17,((1-'Characteristics&amp;Parameters'!$B$19)*ConcentrationsCalculations!F265+'Characteristics&amp;Parameters'!$B$19*ConcentrationsCalculations!F264-F265/86400*'Characteristics&amp;Parameters'!$B$11*'Characteristics&amp;Parameters'!$B$12),""))</f>
        <v/>
      </c>
    </row>
    <row r="266" spans="1:10" x14ac:dyDescent="0.5">
      <c r="A266" s="7" t="str">
        <f>IF(A265&lt;'Characteristics&amp;Parameters'!$B$17,ConcentrationsCalculations!A265+1,IF(A265="DS Node","",IF(A265="","","DS Node")))</f>
        <v/>
      </c>
      <c r="B266" s="8" t="str">
        <f>IF(A266&lt;='Characteristics&amp;Parameters'!$B$17,'Characteristics&amp;Parameters'!$B$7,IF(ConcentrationsCalculations!A266="DS Node",'Characteristics&amp;Parameters'!$B$8,""))</f>
        <v/>
      </c>
      <c r="C266" s="8"/>
      <c r="E266" s="7" t="s">
        <v>25</v>
      </c>
      <c r="F266" s="8" t="s">
        <v>25</v>
      </c>
      <c r="I266" s="7" t="str">
        <f>IF(I265&lt;'Characteristics&amp;Parameters'!$B$17,ConcentrationsCalculations!I265+1,IF(I265="DS Node","",IF(I265="","","DS Node")))</f>
        <v/>
      </c>
      <c r="J266" s="13" t="str">
        <f>IF(I266="DS Node",'Characteristics&amp;Parameters'!$B$8,IF(I266&lt;='Characteristics&amp;Parameters'!$B$17,((1-'Characteristics&amp;Parameters'!$B$19)*ConcentrationsCalculations!F266+'Characteristics&amp;Parameters'!$B$19*ConcentrationsCalculations!F265-F266/86400*'Characteristics&amp;Parameters'!$B$11*'Characteristics&amp;Parameters'!$B$12),""))</f>
        <v/>
      </c>
    </row>
    <row r="267" spans="1:10" x14ac:dyDescent="0.5">
      <c r="A267" s="7" t="str">
        <f>IF(A266&lt;'Characteristics&amp;Parameters'!$B$17,ConcentrationsCalculations!A266+1,IF(A266="DS Node","",IF(A266="","","DS Node")))</f>
        <v/>
      </c>
      <c r="B267" s="8" t="str">
        <f>IF(A267&lt;='Characteristics&amp;Parameters'!$B$17,'Characteristics&amp;Parameters'!$B$7,IF(ConcentrationsCalculations!A267="DS Node",'Characteristics&amp;Parameters'!$B$8,""))</f>
        <v/>
      </c>
      <c r="C267" s="8"/>
      <c r="E267" s="7" t="s">
        <v>25</v>
      </c>
      <c r="F267" s="8" t="s">
        <v>25</v>
      </c>
      <c r="I267" s="7" t="str">
        <f>IF(I266&lt;'Characteristics&amp;Parameters'!$B$17,ConcentrationsCalculations!I266+1,IF(I266="DS Node","",IF(I266="","","DS Node")))</f>
        <v/>
      </c>
      <c r="J267" s="13" t="str">
        <f>IF(I267="DS Node",'Characteristics&amp;Parameters'!$B$8,IF(I267&lt;='Characteristics&amp;Parameters'!$B$17,((1-'Characteristics&amp;Parameters'!$B$19)*ConcentrationsCalculations!F267+'Characteristics&amp;Parameters'!$B$19*ConcentrationsCalculations!F266-F267/86400*'Characteristics&amp;Parameters'!$B$11*'Characteristics&amp;Parameters'!$B$12),""))</f>
        <v/>
      </c>
    </row>
    <row r="268" spans="1:10" x14ac:dyDescent="0.5">
      <c r="A268" s="7" t="str">
        <f>IF(A267&lt;'Characteristics&amp;Parameters'!$B$17,ConcentrationsCalculations!A267+1,IF(A267="DS Node","",IF(A267="","","DS Node")))</f>
        <v/>
      </c>
      <c r="B268" s="8" t="str">
        <f>IF(A268&lt;='Characteristics&amp;Parameters'!$B$17,'Characteristics&amp;Parameters'!$B$7,IF(ConcentrationsCalculations!A268="DS Node",'Characteristics&amp;Parameters'!$B$8,""))</f>
        <v/>
      </c>
      <c r="C268" s="8"/>
      <c r="E268" s="7" t="s">
        <v>25</v>
      </c>
      <c r="F268" s="8" t="s">
        <v>25</v>
      </c>
      <c r="I268" s="7" t="str">
        <f>IF(I267&lt;'Characteristics&amp;Parameters'!$B$17,ConcentrationsCalculations!I267+1,IF(I267="DS Node","",IF(I267="","","DS Node")))</f>
        <v/>
      </c>
      <c r="J268" s="13" t="str">
        <f>IF(I268="DS Node",'Characteristics&amp;Parameters'!$B$8,IF(I268&lt;='Characteristics&amp;Parameters'!$B$17,((1-'Characteristics&amp;Parameters'!$B$19)*ConcentrationsCalculations!F268+'Characteristics&amp;Parameters'!$B$19*ConcentrationsCalculations!F267-F268/86400*'Characteristics&amp;Parameters'!$B$11*'Characteristics&amp;Parameters'!$B$12),""))</f>
        <v/>
      </c>
    </row>
    <row r="269" spans="1:10" x14ac:dyDescent="0.5">
      <c r="A269" s="7" t="str">
        <f>IF(A268&lt;'Characteristics&amp;Parameters'!$B$17,ConcentrationsCalculations!A268+1,IF(A268="DS Node","",IF(A268="","","DS Node")))</f>
        <v/>
      </c>
      <c r="B269" s="8" t="str">
        <f>IF(A269&lt;='Characteristics&amp;Parameters'!$B$17,'Characteristics&amp;Parameters'!$B$7,IF(ConcentrationsCalculations!A269="DS Node",'Characteristics&amp;Parameters'!$B$8,""))</f>
        <v/>
      </c>
      <c r="C269" s="8"/>
      <c r="E269" s="7" t="s">
        <v>25</v>
      </c>
      <c r="F269" s="8" t="s">
        <v>25</v>
      </c>
      <c r="I269" s="7" t="str">
        <f>IF(I268&lt;'Characteristics&amp;Parameters'!$B$17,ConcentrationsCalculations!I268+1,IF(I268="DS Node","",IF(I268="","","DS Node")))</f>
        <v/>
      </c>
      <c r="J269" s="13" t="str">
        <f>IF(I269="DS Node",'Characteristics&amp;Parameters'!$B$8,IF(I269&lt;='Characteristics&amp;Parameters'!$B$17,((1-'Characteristics&amp;Parameters'!$B$19)*ConcentrationsCalculations!F269+'Characteristics&amp;Parameters'!$B$19*ConcentrationsCalculations!F268-F269/86400*'Characteristics&amp;Parameters'!$B$11*'Characteristics&amp;Parameters'!$B$12),""))</f>
        <v/>
      </c>
    </row>
    <row r="270" spans="1:10" x14ac:dyDescent="0.5">
      <c r="A270" s="7" t="str">
        <f>IF(A269&lt;'Characteristics&amp;Parameters'!$B$17,ConcentrationsCalculations!A269+1,IF(A269="DS Node","",IF(A269="","","DS Node")))</f>
        <v/>
      </c>
      <c r="B270" s="8" t="str">
        <f>IF(A270&lt;='Characteristics&amp;Parameters'!$B$17,'Characteristics&amp;Parameters'!$B$7,IF(ConcentrationsCalculations!A270="DS Node",'Characteristics&amp;Parameters'!$B$8,""))</f>
        <v/>
      </c>
      <c r="C270" s="8"/>
      <c r="E270" s="7" t="s">
        <v>25</v>
      </c>
      <c r="F270" s="8" t="s">
        <v>25</v>
      </c>
      <c r="I270" s="7" t="str">
        <f>IF(I269&lt;'Characteristics&amp;Parameters'!$B$17,ConcentrationsCalculations!I269+1,IF(I269="DS Node","",IF(I269="","","DS Node")))</f>
        <v/>
      </c>
      <c r="J270" s="13" t="str">
        <f>IF(I270="DS Node",'Characteristics&amp;Parameters'!$B$8,IF(I270&lt;='Characteristics&amp;Parameters'!$B$17,((1-'Characteristics&amp;Parameters'!$B$19)*ConcentrationsCalculations!F270+'Characteristics&amp;Parameters'!$B$19*ConcentrationsCalculations!F269-F270/86400*'Characteristics&amp;Parameters'!$B$11*'Characteristics&amp;Parameters'!$B$12),""))</f>
        <v/>
      </c>
    </row>
    <row r="271" spans="1:10" x14ac:dyDescent="0.5">
      <c r="A271" s="7" t="str">
        <f>IF(A270&lt;'Characteristics&amp;Parameters'!$B$17,ConcentrationsCalculations!A270+1,IF(A270="DS Node","",IF(A270="","","DS Node")))</f>
        <v/>
      </c>
      <c r="B271" s="8" t="str">
        <f>IF(A271&lt;='Characteristics&amp;Parameters'!$B$17,'Characteristics&amp;Parameters'!$B$7,IF(ConcentrationsCalculations!A271="DS Node",'Characteristics&amp;Parameters'!$B$8,""))</f>
        <v/>
      </c>
      <c r="C271" s="8"/>
      <c r="E271" s="7" t="s">
        <v>25</v>
      </c>
      <c r="F271" s="8" t="s">
        <v>25</v>
      </c>
      <c r="I271" s="7" t="str">
        <f>IF(I270&lt;'Characteristics&amp;Parameters'!$B$17,ConcentrationsCalculations!I270+1,IF(I270="DS Node","",IF(I270="","","DS Node")))</f>
        <v/>
      </c>
      <c r="J271" s="13" t="str">
        <f>IF(I271="DS Node",'Characteristics&amp;Parameters'!$B$8,IF(I271&lt;='Characteristics&amp;Parameters'!$B$17,((1-'Characteristics&amp;Parameters'!$B$19)*ConcentrationsCalculations!F271+'Characteristics&amp;Parameters'!$B$19*ConcentrationsCalculations!F270-F271/86400*'Characteristics&amp;Parameters'!$B$11*'Characteristics&amp;Parameters'!$B$12),""))</f>
        <v/>
      </c>
    </row>
    <row r="272" spans="1:10" x14ac:dyDescent="0.5">
      <c r="A272" s="7" t="str">
        <f>IF(A271&lt;'Characteristics&amp;Parameters'!$B$17,ConcentrationsCalculations!A271+1,IF(A271="DS Node","",IF(A271="","","DS Node")))</f>
        <v/>
      </c>
      <c r="B272" s="8" t="str">
        <f>IF(A272&lt;='Characteristics&amp;Parameters'!$B$17,'Characteristics&amp;Parameters'!$B$7,IF(ConcentrationsCalculations!A272="DS Node",'Characteristics&amp;Parameters'!$B$8,""))</f>
        <v/>
      </c>
      <c r="C272" s="8"/>
      <c r="E272" s="7" t="s">
        <v>25</v>
      </c>
      <c r="F272" s="8" t="s">
        <v>25</v>
      </c>
      <c r="I272" s="7" t="str">
        <f>IF(I271&lt;'Characteristics&amp;Parameters'!$B$17,ConcentrationsCalculations!I271+1,IF(I271="DS Node","",IF(I271="","","DS Node")))</f>
        <v/>
      </c>
      <c r="J272" s="13" t="str">
        <f>IF(I272="DS Node",'Characteristics&amp;Parameters'!$B$8,IF(I272&lt;='Characteristics&amp;Parameters'!$B$17,((1-'Characteristics&amp;Parameters'!$B$19)*ConcentrationsCalculations!F272+'Characteristics&amp;Parameters'!$B$19*ConcentrationsCalculations!F271-F272/86400*'Characteristics&amp;Parameters'!$B$11*'Characteristics&amp;Parameters'!$B$12),""))</f>
        <v/>
      </c>
    </row>
    <row r="273" spans="1:10" x14ac:dyDescent="0.5">
      <c r="A273" s="7" t="str">
        <f>IF(A272&lt;'Characteristics&amp;Parameters'!$B$17,ConcentrationsCalculations!A272+1,IF(A272="DS Node","",IF(A272="","","DS Node")))</f>
        <v/>
      </c>
      <c r="B273" s="8" t="str">
        <f>IF(A273&lt;='Characteristics&amp;Parameters'!$B$17,'Characteristics&amp;Parameters'!$B$7,IF(ConcentrationsCalculations!A273="DS Node",'Characteristics&amp;Parameters'!$B$8,""))</f>
        <v/>
      </c>
      <c r="C273" s="8"/>
      <c r="E273" s="7" t="s">
        <v>25</v>
      </c>
      <c r="F273" s="8" t="s">
        <v>25</v>
      </c>
      <c r="I273" s="7" t="str">
        <f>IF(I272&lt;'Characteristics&amp;Parameters'!$B$17,ConcentrationsCalculations!I272+1,IF(I272="DS Node","",IF(I272="","","DS Node")))</f>
        <v/>
      </c>
      <c r="J273" s="13" t="str">
        <f>IF(I273="DS Node",'Characteristics&amp;Parameters'!$B$8,IF(I273&lt;='Characteristics&amp;Parameters'!$B$17,((1-'Characteristics&amp;Parameters'!$B$19)*ConcentrationsCalculations!F273+'Characteristics&amp;Parameters'!$B$19*ConcentrationsCalculations!F272-F273/86400*'Characteristics&amp;Parameters'!$B$11*'Characteristics&amp;Parameters'!$B$12),""))</f>
        <v/>
      </c>
    </row>
    <row r="274" spans="1:10" x14ac:dyDescent="0.5">
      <c r="A274" s="7" t="str">
        <f>IF(A273&lt;'Characteristics&amp;Parameters'!$B$17,ConcentrationsCalculations!A273+1,IF(A273="DS Node","",IF(A273="","","DS Node")))</f>
        <v/>
      </c>
      <c r="B274" s="8" t="str">
        <f>IF(A274&lt;='Characteristics&amp;Parameters'!$B$17,'Characteristics&amp;Parameters'!$B$7,IF(ConcentrationsCalculations!A274="DS Node",'Characteristics&amp;Parameters'!$B$8,""))</f>
        <v/>
      </c>
      <c r="C274" s="8"/>
      <c r="E274" s="7" t="s">
        <v>25</v>
      </c>
      <c r="F274" s="8" t="s">
        <v>25</v>
      </c>
      <c r="I274" s="7" t="str">
        <f>IF(I273&lt;'Characteristics&amp;Parameters'!$B$17,ConcentrationsCalculations!I273+1,IF(I273="DS Node","",IF(I273="","","DS Node")))</f>
        <v/>
      </c>
      <c r="J274" s="13" t="str">
        <f>IF(I274="DS Node",'Characteristics&amp;Parameters'!$B$8,IF(I274&lt;='Characteristics&amp;Parameters'!$B$17,((1-'Characteristics&amp;Parameters'!$B$19)*ConcentrationsCalculations!F274+'Characteristics&amp;Parameters'!$B$19*ConcentrationsCalculations!F273-F274/86400*'Characteristics&amp;Parameters'!$B$11*'Characteristics&amp;Parameters'!$B$12),""))</f>
        <v/>
      </c>
    </row>
    <row r="275" spans="1:10" x14ac:dyDescent="0.5">
      <c r="A275" s="7" t="str">
        <f>IF(A274&lt;'Characteristics&amp;Parameters'!$B$17,ConcentrationsCalculations!A274+1,IF(A274="DS Node","",IF(A274="","","DS Node")))</f>
        <v/>
      </c>
      <c r="B275" s="8" t="str">
        <f>IF(A275&lt;='Characteristics&amp;Parameters'!$B$17,'Characteristics&amp;Parameters'!$B$7,IF(ConcentrationsCalculations!A275="DS Node",'Characteristics&amp;Parameters'!$B$8,""))</f>
        <v/>
      </c>
      <c r="C275" s="8"/>
      <c r="E275" s="7" t="s">
        <v>25</v>
      </c>
      <c r="F275" s="8" t="s">
        <v>25</v>
      </c>
      <c r="I275" s="7" t="str">
        <f>IF(I274&lt;'Characteristics&amp;Parameters'!$B$17,ConcentrationsCalculations!I274+1,IF(I274="DS Node","",IF(I274="","","DS Node")))</f>
        <v/>
      </c>
      <c r="J275" s="13" t="str">
        <f>IF(I275="DS Node",'Characteristics&amp;Parameters'!$B$8,IF(I275&lt;='Characteristics&amp;Parameters'!$B$17,((1-'Characteristics&amp;Parameters'!$B$19)*ConcentrationsCalculations!F275+'Characteristics&amp;Parameters'!$B$19*ConcentrationsCalculations!F274-F275/86400*'Characteristics&amp;Parameters'!$B$11*'Characteristics&amp;Parameters'!$B$12),""))</f>
        <v/>
      </c>
    </row>
    <row r="276" spans="1:10" x14ac:dyDescent="0.5">
      <c r="A276" s="7" t="str">
        <f>IF(A275&lt;'Characteristics&amp;Parameters'!$B$17,ConcentrationsCalculations!A275+1,IF(A275="DS Node","",IF(A275="","","DS Node")))</f>
        <v/>
      </c>
      <c r="B276" s="8" t="str">
        <f>IF(A276&lt;='Characteristics&amp;Parameters'!$B$17,'Characteristics&amp;Parameters'!$B$7,IF(ConcentrationsCalculations!A276="DS Node",'Characteristics&amp;Parameters'!$B$8,""))</f>
        <v/>
      </c>
      <c r="C276" s="8"/>
      <c r="E276" s="7" t="s">
        <v>25</v>
      </c>
      <c r="F276" s="8" t="s">
        <v>25</v>
      </c>
      <c r="I276" s="7" t="str">
        <f>IF(I275&lt;'Characteristics&amp;Parameters'!$B$17,ConcentrationsCalculations!I275+1,IF(I275="DS Node","",IF(I275="","","DS Node")))</f>
        <v/>
      </c>
      <c r="J276" s="13" t="str">
        <f>IF(I276="DS Node",'Characteristics&amp;Parameters'!$B$8,IF(I276&lt;='Characteristics&amp;Parameters'!$B$17,((1-'Characteristics&amp;Parameters'!$B$19)*ConcentrationsCalculations!F276+'Characteristics&amp;Parameters'!$B$19*ConcentrationsCalculations!F275-F276/86400*'Characteristics&amp;Parameters'!$B$11*'Characteristics&amp;Parameters'!$B$12),""))</f>
        <v/>
      </c>
    </row>
    <row r="277" spans="1:10" x14ac:dyDescent="0.5">
      <c r="A277" s="7" t="str">
        <f>IF(A276&lt;'Characteristics&amp;Parameters'!$B$17,ConcentrationsCalculations!A276+1,IF(A276="DS Node","",IF(A276="","","DS Node")))</f>
        <v/>
      </c>
      <c r="B277" s="8" t="str">
        <f>IF(A277&lt;='Characteristics&amp;Parameters'!$B$17,'Characteristics&amp;Parameters'!$B$7,IF(ConcentrationsCalculations!A277="DS Node",'Characteristics&amp;Parameters'!$B$8,""))</f>
        <v/>
      </c>
      <c r="C277" s="8"/>
      <c r="E277" s="7" t="s">
        <v>25</v>
      </c>
      <c r="F277" s="8" t="s">
        <v>25</v>
      </c>
      <c r="I277" s="7" t="str">
        <f>IF(I276&lt;'Characteristics&amp;Parameters'!$B$17,ConcentrationsCalculations!I276+1,IF(I276="DS Node","",IF(I276="","","DS Node")))</f>
        <v/>
      </c>
      <c r="J277" s="13" t="str">
        <f>IF(I277="DS Node",'Characteristics&amp;Parameters'!$B$8,IF(I277&lt;='Characteristics&amp;Parameters'!$B$17,((1-'Characteristics&amp;Parameters'!$B$19)*ConcentrationsCalculations!F277+'Characteristics&amp;Parameters'!$B$19*ConcentrationsCalculations!F276-F277/86400*'Characteristics&amp;Parameters'!$B$11*'Characteristics&amp;Parameters'!$B$12),""))</f>
        <v/>
      </c>
    </row>
    <row r="278" spans="1:10" x14ac:dyDescent="0.5">
      <c r="A278" s="7" t="str">
        <f>IF(A277&lt;'Characteristics&amp;Parameters'!$B$17,ConcentrationsCalculations!A277+1,IF(A277="DS Node","",IF(A277="","","DS Node")))</f>
        <v/>
      </c>
      <c r="B278" s="8" t="str">
        <f>IF(A278&lt;='Characteristics&amp;Parameters'!$B$17,'Characteristics&amp;Parameters'!$B$7,IF(ConcentrationsCalculations!A278="DS Node",'Characteristics&amp;Parameters'!$B$8,""))</f>
        <v/>
      </c>
      <c r="C278" s="8"/>
      <c r="E278" s="7" t="s">
        <v>25</v>
      </c>
      <c r="F278" s="8" t="s">
        <v>25</v>
      </c>
      <c r="I278" s="7" t="str">
        <f>IF(I277&lt;'Characteristics&amp;Parameters'!$B$17,ConcentrationsCalculations!I277+1,IF(I277="DS Node","",IF(I277="","","DS Node")))</f>
        <v/>
      </c>
      <c r="J278" s="13" t="str">
        <f>IF(I278="DS Node",'Characteristics&amp;Parameters'!$B$8,IF(I278&lt;='Characteristics&amp;Parameters'!$B$17,((1-'Characteristics&amp;Parameters'!$B$19)*ConcentrationsCalculations!F278+'Characteristics&amp;Parameters'!$B$19*ConcentrationsCalculations!F277-F278/86400*'Characteristics&amp;Parameters'!$B$11*'Characteristics&amp;Parameters'!$B$12),""))</f>
        <v/>
      </c>
    </row>
    <row r="279" spans="1:10" x14ac:dyDescent="0.5">
      <c r="A279" s="7" t="str">
        <f>IF(A278&lt;'Characteristics&amp;Parameters'!$B$17,ConcentrationsCalculations!A278+1,IF(A278="DS Node","",IF(A278="","","DS Node")))</f>
        <v/>
      </c>
      <c r="B279" s="8" t="str">
        <f>IF(A279&lt;='Characteristics&amp;Parameters'!$B$17,'Characteristics&amp;Parameters'!$B$7,IF(ConcentrationsCalculations!A279="DS Node",'Characteristics&amp;Parameters'!$B$8,""))</f>
        <v/>
      </c>
      <c r="C279" s="8"/>
      <c r="E279" s="7" t="s">
        <v>25</v>
      </c>
      <c r="F279" s="8" t="s">
        <v>25</v>
      </c>
      <c r="I279" s="7" t="str">
        <f>IF(I278&lt;'Characteristics&amp;Parameters'!$B$17,ConcentrationsCalculations!I278+1,IF(I278="DS Node","",IF(I278="","","DS Node")))</f>
        <v/>
      </c>
      <c r="J279" s="13" t="str">
        <f>IF(I279="DS Node",'Characteristics&amp;Parameters'!$B$8,IF(I279&lt;='Characteristics&amp;Parameters'!$B$17,((1-'Characteristics&amp;Parameters'!$B$19)*ConcentrationsCalculations!F279+'Characteristics&amp;Parameters'!$B$19*ConcentrationsCalculations!F278-F279/86400*'Characteristics&amp;Parameters'!$B$11*'Characteristics&amp;Parameters'!$B$12),""))</f>
        <v/>
      </c>
    </row>
    <row r="280" spans="1:10" x14ac:dyDescent="0.5">
      <c r="A280" s="7" t="str">
        <f>IF(A279&lt;'Characteristics&amp;Parameters'!$B$17,ConcentrationsCalculations!A279+1,IF(A279="DS Node","",IF(A279="","","DS Node")))</f>
        <v/>
      </c>
      <c r="B280" s="8" t="str">
        <f>IF(A280&lt;='Characteristics&amp;Parameters'!$B$17,'Characteristics&amp;Parameters'!$B$7,IF(ConcentrationsCalculations!A280="DS Node",'Characteristics&amp;Parameters'!$B$8,""))</f>
        <v/>
      </c>
      <c r="C280" s="8"/>
      <c r="E280" s="7" t="s">
        <v>25</v>
      </c>
      <c r="F280" s="8" t="s">
        <v>25</v>
      </c>
      <c r="I280" s="7" t="str">
        <f>IF(I279&lt;'Characteristics&amp;Parameters'!$B$17,ConcentrationsCalculations!I279+1,IF(I279="DS Node","",IF(I279="","","DS Node")))</f>
        <v/>
      </c>
      <c r="J280" s="13" t="str">
        <f>IF(I280="DS Node",'Characteristics&amp;Parameters'!$B$8,IF(I280&lt;='Characteristics&amp;Parameters'!$B$17,((1-'Characteristics&amp;Parameters'!$B$19)*ConcentrationsCalculations!F280+'Characteristics&amp;Parameters'!$B$19*ConcentrationsCalculations!F279-F280/86400*'Characteristics&amp;Parameters'!$B$11*'Characteristics&amp;Parameters'!$B$12),""))</f>
        <v/>
      </c>
    </row>
    <row r="281" spans="1:10" x14ac:dyDescent="0.5">
      <c r="A281" s="7" t="str">
        <f>IF(A280&lt;'Characteristics&amp;Parameters'!$B$17,ConcentrationsCalculations!A280+1,IF(A280="DS Node","",IF(A280="","","DS Node")))</f>
        <v/>
      </c>
      <c r="B281" s="8" t="str">
        <f>IF(A281&lt;='Characteristics&amp;Parameters'!$B$17,'Characteristics&amp;Parameters'!$B$7,IF(ConcentrationsCalculations!A281="DS Node",'Characteristics&amp;Parameters'!$B$8,""))</f>
        <v/>
      </c>
      <c r="C281" s="8"/>
      <c r="E281" s="7" t="s">
        <v>25</v>
      </c>
      <c r="F281" s="8" t="s">
        <v>25</v>
      </c>
      <c r="I281" s="7" t="str">
        <f>IF(I280&lt;'Characteristics&amp;Parameters'!$B$17,ConcentrationsCalculations!I280+1,IF(I280="DS Node","",IF(I280="","","DS Node")))</f>
        <v/>
      </c>
      <c r="J281" s="13" t="str">
        <f>IF(I281="DS Node",'Characteristics&amp;Parameters'!$B$8,IF(I281&lt;='Characteristics&amp;Parameters'!$B$17,((1-'Characteristics&amp;Parameters'!$B$19)*ConcentrationsCalculations!F281+'Characteristics&amp;Parameters'!$B$19*ConcentrationsCalculations!F280-F281/86400*'Characteristics&amp;Parameters'!$B$11*'Characteristics&amp;Parameters'!$B$12),""))</f>
        <v/>
      </c>
    </row>
    <row r="282" spans="1:10" x14ac:dyDescent="0.5">
      <c r="A282" s="7" t="str">
        <f>IF(A281&lt;'Characteristics&amp;Parameters'!$B$17,ConcentrationsCalculations!A281+1,IF(A281="DS Node","",IF(A281="","","DS Node")))</f>
        <v/>
      </c>
      <c r="B282" s="8" t="str">
        <f>IF(A282&lt;='Characteristics&amp;Parameters'!$B$17,'Characteristics&amp;Parameters'!$B$7,IF(ConcentrationsCalculations!A282="DS Node",'Characteristics&amp;Parameters'!$B$8,""))</f>
        <v/>
      </c>
      <c r="C282" s="8"/>
      <c r="E282" s="7" t="s">
        <v>25</v>
      </c>
      <c r="F282" s="8" t="s">
        <v>25</v>
      </c>
      <c r="I282" s="7" t="str">
        <f>IF(I281&lt;'Characteristics&amp;Parameters'!$B$17,ConcentrationsCalculations!I281+1,IF(I281="DS Node","",IF(I281="","","DS Node")))</f>
        <v/>
      </c>
      <c r="J282" s="13" t="str">
        <f>IF(I282="DS Node",'Characteristics&amp;Parameters'!$B$8,IF(I282&lt;='Characteristics&amp;Parameters'!$B$17,((1-'Characteristics&amp;Parameters'!$B$19)*ConcentrationsCalculations!F282+'Characteristics&amp;Parameters'!$B$19*ConcentrationsCalculations!F281-F282/86400*'Characteristics&amp;Parameters'!$B$11*'Characteristics&amp;Parameters'!$B$12),""))</f>
        <v/>
      </c>
    </row>
    <row r="283" spans="1:10" x14ac:dyDescent="0.5">
      <c r="A283" s="7" t="str">
        <f>IF(A282&lt;'Characteristics&amp;Parameters'!$B$17,ConcentrationsCalculations!A282+1,IF(A282="DS Node","",IF(A282="","","DS Node")))</f>
        <v/>
      </c>
      <c r="B283" s="8" t="str">
        <f>IF(A283&lt;='Characteristics&amp;Parameters'!$B$17,'Characteristics&amp;Parameters'!$B$7,IF(ConcentrationsCalculations!A283="DS Node",'Characteristics&amp;Parameters'!$B$8,""))</f>
        <v/>
      </c>
      <c r="C283" s="8"/>
      <c r="E283" s="7" t="s">
        <v>25</v>
      </c>
      <c r="F283" s="8" t="s">
        <v>25</v>
      </c>
      <c r="I283" s="7" t="str">
        <f>IF(I282&lt;'Characteristics&amp;Parameters'!$B$17,ConcentrationsCalculations!I282+1,IF(I282="DS Node","",IF(I282="","","DS Node")))</f>
        <v/>
      </c>
      <c r="J283" s="13" t="str">
        <f>IF(I283="DS Node",'Characteristics&amp;Parameters'!$B$8,IF(I283&lt;='Characteristics&amp;Parameters'!$B$17,((1-'Characteristics&amp;Parameters'!$B$19)*ConcentrationsCalculations!F283+'Characteristics&amp;Parameters'!$B$19*ConcentrationsCalculations!F282-F283/86400*'Characteristics&amp;Parameters'!$B$11*'Characteristics&amp;Parameters'!$B$12),""))</f>
        <v/>
      </c>
    </row>
    <row r="284" spans="1:10" x14ac:dyDescent="0.5">
      <c r="A284" s="7" t="str">
        <f>IF(A283&lt;'Characteristics&amp;Parameters'!$B$17,ConcentrationsCalculations!A283+1,IF(A283="DS Node","",IF(A283="","","DS Node")))</f>
        <v/>
      </c>
      <c r="B284" s="8" t="str">
        <f>IF(A284&lt;='Characteristics&amp;Parameters'!$B$17,'Characteristics&amp;Parameters'!$B$7,IF(ConcentrationsCalculations!A284="DS Node",'Characteristics&amp;Parameters'!$B$8,""))</f>
        <v/>
      </c>
      <c r="C284" s="8"/>
      <c r="E284" s="7" t="s">
        <v>25</v>
      </c>
      <c r="F284" s="8" t="s">
        <v>25</v>
      </c>
      <c r="I284" s="7" t="str">
        <f>IF(I283&lt;'Characteristics&amp;Parameters'!$B$17,ConcentrationsCalculations!I283+1,IF(I283="DS Node","",IF(I283="","","DS Node")))</f>
        <v/>
      </c>
      <c r="J284" s="13" t="str">
        <f>IF(I284="DS Node",'Characteristics&amp;Parameters'!$B$8,IF(I284&lt;='Characteristics&amp;Parameters'!$B$17,((1-'Characteristics&amp;Parameters'!$B$19)*ConcentrationsCalculations!F284+'Characteristics&amp;Parameters'!$B$19*ConcentrationsCalculations!F283-F284/86400*'Characteristics&amp;Parameters'!$B$11*'Characteristics&amp;Parameters'!$B$12),""))</f>
        <v/>
      </c>
    </row>
    <row r="285" spans="1:10" x14ac:dyDescent="0.5">
      <c r="A285" s="7" t="str">
        <f>IF(A284&lt;'Characteristics&amp;Parameters'!$B$17,ConcentrationsCalculations!A284+1,IF(A284="DS Node","",IF(A284="","","DS Node")))</f>
        <v/>
      </c>
      <c r="B285" s="8" t="str">
        <f>IF(A285&lt;='Characteristics&amp;Parameters'!$B$17,'Characteristics&amp;Parameters'!$B$7,IF(ConcentrationsCalculations!A285="DS Node",'Characteristics&amp;Parameters'!$B$8,""))</f>
        <v/>
      </c>
      <c r="C285" s="8"/>
      <c r="E285" s="7" t="s">
        <v>25</v>
      </c>
      <c r="F285" s="8" t="s">
        <v>25</v>
      </c>
      <c r="I285" s="7" t="str">
        <f>IF(I284&lt;'Characteristics&amp;Parameters'!$B$17,ConcentrationsCalculations!I284+1,IF(I284="DS Node","",IF(I284="","","DS Node")))</f>
        <v/>
      </c>
      <c r="J285" s="13" t="str">
        <f>IF(I285="DS Node",'Characteristics&amp;Parameters'!$B$8,IF(I285&lt;='Characteristics&amp;Parameters'!$B$17,((1-'Characteristics&amp;Parameters'!$B$19)*ConcentrationsCalculations!F285+'Characteristics&amp;Parameters'!$B$19*ConcentrationsCalculations!F284-F285/86400*'Characteristics&amp;Parameters'!$B$11*'Characteristics&amp;Parameters'!$B$12),""))</f>
        <v/>
      </c>
    </row>
    <row r="286" spans="1:10" x14ac:dyDescent="0.5">
      <c r="A286" s="7" t="str">
        <f>IF(A285&lt;'Characteristics&amp;Parameters'!$B$17,ConcentrationsCalculations!A285+1,IF(A285="DS Node","",IF(A285="","","DS Node")))</f>
        <v/>
      </c>
      <c r="B286" s="8" t="str">
        <f>IF(A286&lt;='Characteristics&amp;Parameters'!$B$17,'Characteristics&amp;Parameters'!$B$7,IF(ConcentrationsCalculations!A286="DS Node",'Characteristics&amp;Parameters'!$B$8,""))</f>
        <v/>
      </c>
      <c r="C286" s="8"/>
      <c r="E286" s="7" t="s">
        <v>25</v>
      </c>
      <c r="F286" s="8" t="s">
        <v>25</v>
      </c>
      <c r="I286" s="7" t="str">
        <f>IF(I285&lt;'Characteristics&amp;Parameters'!$B$17,ConcentrationsCalculations!I285+1,IF(I285="DS Node","",IF(I285="","","DS Node")))</f>
        <v/>
      </c>
      <c r="J286" s="13" t="str">
        <f>IF(I286="DS Node",'Characteristics&amp;Parameters'!$B$8,IF(I286&lt;='Characteristics&amp;Parameters'!$B$17,((1-'Characteristics&amp;Parameters'!$B$19)*ConcentrationsCalculations!F286+'Characteristics&amp;Parameters'!$B$19*ConcentrationsCalculations!F285-F286/86400*'Characteristics&amp;Parameters'!$B$11*'Characteristics&amp;Parameters'!$B$12),""))</f>
        <v/>
      </c>
    </row>
    <row r="287" spans="1:10" x14ac:dyDescent="0.5">
      <c r="A287" s="7" t="str">
        <f>IF(A286&lt;'Characteristics&amp;Parameters'!$B$17,ConcentrationsCalculations!A286+1,IF(A286="DS Node","",IF(A286="","","DS Node")))</f>
        <v/>
      </c>
      <c r="B287" s="8" t="str">
        <f>IF(A287&lt;='Characteristics&amp;Parameters'!$B$17,'Characteristics&amp;Parameters'!$B$7,IF(ConcentrationsCalculations!A287="DS Node",'Characteristics&amp;Parameters'!$B$8,""))</f>
        <v/>
      </c>
      <c r="C287" s="8"/>
      <c r="E287" s="7" t="s">
        <v>25</v>
      </c>
      <c r="F287" s="8" t="s">
        <v>25</v>
      </c>
      <c r="I287" s="7" t="str">
        <f>IF(I286&lt;'Characteristics&amp;Parameters'!$B$17,ConcentrationsCalculations!I286+1,IF(I286="DS Node","",IF(I286="","","DS Node")))</f>
        <v/>
      </c>
      <c r="J287" s="13" t="str">
        <f>IF(I287="DS Node",'Characteristics&amp;Parameters'!$B$8,IF(I287&lt;='Characteristics&amp;Parameters'!$B$17,((1-'Characteristics&amp;Parameters'!$B$19)*ConcentrationsCalculations!F287+'Characteristics&amp;Parameters'!$B$19*ConcentrationsCalculations!F286-F287/86400*'Characteristics&amp;Parameters'!$B$11*'Characteristics&amp;Parameters'!$B$12),""))</f>
        <v/>
      </c>
    </row>
    <row r="288" spans="1:10" x14ac:dyDescent="0.5">
      <c r="A288" s="7" t="str">
        <f>IF(A287&lt;'Characteristics&amp;Parameters'!$B$17,ConcentrationsCalculations!A287+1,IF(A287="DS Node","",IF(A287="","","DS Node")))</f>
        <v/>
      </c>
      <c r="B288" s="8" t="str">
        <f>IF(A288&lt;='Characteristics&amp;Parameters'!$B$17,'Characteristics&amp;Parameters'!$B$7,IF(ConcentrationsCalculations!A288="DS Node",'Characteristics&amp;Parameters'!$B$8,""))</f>
        <v/>
      </c>
      <c r="C288" s="8"/>
      <c r="E288" s="7" t="s">
        <v>25</v>
      </c>
      <c r="F288" s="8" t="s">
        <v>25</v>
      </c>
      <c r="I288" s="7" t="str">
        <f>IF(I287&lt;'Characteristics&amp;Parameters'!$B$17,ConcentrationsCalculations!I287+1,IF(I287="DS Node","",IF(I287="","","DS Node")))</f>
        <v/>
      </c>
      <c r="J288" s="13" t="str">
        <f>IF(I288="DS Node",'Characteristics&amp;Parameters'!$B$8,IF(I288&lt;='Characteristics&amp;Parameters'!$B$17,((1-'Characteristics&amp;Parameters'!$B$19)*ConcentrationsCalculations!F288+'Characteristics&amp;Parameters'!$B$19*ConcentrationsCalculations!F287-F288/86400*'Characteristics&amp;Parameters'!$B$11*'Characteristics&amp;Parameters'!$B$12),""))</f>
        <v/>
      </c>
    </row>
    <row r="289" spans="1:10" x14ac:dyDescent="0.5">
      <c r="A289" s="7" t="str">
        <f>IF(A288&lt;'Characteristics&amp;Parameters'!$B$17,ConcentrationsCalculations!A288+1,IF(A288="DS Node","",IF(A288="","","DS Node")))</f>
        <v/>
      </c>
      <c r="B289" s="8" t="str">
        <f>IF(A289&lt;='Characteristics&amp;Parameters'!$B$17,'Characteristics&amp;Parameters'!$B$7,IF(ConcentrationsCalculations!A289="DS Node",'Characteristics&amp;Parameters'!$B$8,""))</f>
        <v/>
      </c>
      <c r="C289" s="8"/>
      <c r="E289" s="7" t="s">
        <v>25</v>
      </c>
      <c r="F289" s="8" t="s">
        <v>25</v>
      </c>
      <c r="I289" s="7" t="str">
        <f>IF(I288&lt;'Characteristics&amp;Parameters'!$B$17,ConcentrationsCalculations!I288+1,IF(I288="DS Node","",IF(I288="","","DS Node")))</f>
        <v/>
      </c>
      <c r="J289" s="13" t="str">
        <f>IF(I289="DS Node",'Characteristics&amp;Parameters'!$B$8,IF(I289&lt;='Characteristics&amp;Parameters'!$B$17,((1-'Characteristics&amp;Parameters'!$B$19)*ConcentrationsCalculations!F289+'Characteristics&amp;Parameters'!$B$19*ConcentrationsCalculations!F288-F289/86400*'Characteristics&amp;Parameters'!$B$11*'Characteristics&amp;Parameters'!$B$12),""))</f>
        <v/>
      </c>
    </row>
    <row r="290" spans="1:10" x14ac:dyDescent="0.5">
      <c r="A290" s="7" t="str">
        <f>IF(A289&lt;'Characteristics&amp;Parameters'!$B$17,ConcentrationsCalculations!A289+1,IF(A289="DS Node","",IF(A289="","","DS Node")))</f>
        <v/>
      </c>
      <c r="B290" s="8" t="str">
        <f>IF(A290&lt;='Characteristics&amp;Parameters'!$B$17,'Characteristics&amp;Parameters'!$B$7,IF(ConcentrationsCalculations!A290="DS Node",'Characteristics&amp;Parameters'!$B$8,""))</f>
        <v/>
      </c>
      <c r="C290" s="8"/>
      <c r="E290" s="7" t="s">
        <v>25</v>
      </c>
      <c r="F290" s="8" t="s">
        <v>25</v>
      </c>
      <c r="I290" s="7" t="str">
        <f>IF(I289&lt;'Characteristics&amp;Parameters'!$B$17,ConcentrationsCalculations!I289+1,IF(I289="DS Node","",IF(I289="","","DS Node")))</f>
        <v/>
      </c>
      <c r="J290" s="13" t="str">
        <f>IF(I290="DS Node",'Characteristics&amp;Parameters'!$B$8,IF(I290&lt;='Characteristics&amp;Parameters'!$B$17,((1-'Characteristics&amp;Parameters'!$B$19)*ConcentrationsCalculations!F290+'Characteristics&amp;Parameters'!$B$19*ConcentrationsCalculations!F289-F290/86400*'Characteristics&amp;Parameters'!$B$11*'Characteristics&amp;Parameters'!$B$12),""))</f>
        <v/>
      </c>
    </row>
    <row r="291" spans="1:10" x14ac:dyDescent="0.5">
      <c r="A291" s="7" t="str">
        <f>IF(A290&lt;'Characteristics&amp;Parameters'!$B$17,ConcentrationsCalculations!A290+1,IF(A290="DS Node","",IF(A290="","","DS Node")))</f>
        <v/>
      </c>
      <c r="B291" s="8" t="str">
        <f>IF(A291&lt;='Characteristics&amp;Parameters'!$B$17,'Characteristics&amp;Parameters'!$B$7,IF(ConcentrationsCalculations!A291="DS Node",'Characteristics&amp;Parameters'!$B$8,""))</f>
        <v/>
      </c>
      <c r="C291" s="8"/>
      <c r="E291" s="7" t="s">
        <v>25</v>
      </c>
      <c r="F291" s="8" t="s">
        <v>25</v>
      </c>
      <c r="I291" s="7" t="str">
        <f>IF(I290&lt;'Characteristics&amp;Parameters'!$B$17,ConcentrationsCalculations!I290+1,IF(I290="DS Node","",IF(I290="","","DS Node")))</f>
        <v/>
      </c>
      <c r="J291" s="13" t="str">
        <f>IF(I291="DS Node",'Characteristics&amp;Parameters'!$B$8,IF(I291&lt;='Characteristics&amp;Parameters'!$B$17,((1-'Characteristics&amp;Parameters'!$B$19)*ConcentrationsCalculations!F291+'Characteristics&amp;Parameters'!$B$19*ConcentrationsCalculations!F290-F291/86400*'Characteristics&amp;Parameters'!$B$11*'Characteristics&amp;Parameters'!$B$12),""))</f>
        <v/>
      </c>
    </row>
    <row r="292" spans="1:10" x14ac:dyDescent="0.5">
      <c r="A292" s="7" t="str">
        <f>IF(A291&lt;'Characteristics&amp;Parameters'!$B$17,ConcentrationsCalculations!A291+1,IF(A291="DS Node","",IF(A291="","","DS Node")))</f>
        <v/>
      </c>
      <c r="B292" s="8" t="str">
        <f>IF(A292&lt;='Characteristics&amp;Parameters'!$B$17,'Characteristics&amp;Parameters'!$B$7,IF(ConcentrationsCalculations!A292="DS Node",'Characteristics&amp;Parameters'!$B$8,""))</f>
        <v/>
      </c>
      <c r="C292" s="8"/>
      <c r="E292" s="7" t="s">
        <v>25</v>
      </c>
      <c r="F292" s="8" t="s">
        <v>25</v>
      </c>
      <c r="I292" s="7" t="str">
        <f>IF(I291&lt;'Characteristics&amp;Parameters'!$B$17,ConcentrationsCalculations!I291+1,IF(I291="DS Node","",IF(I291="","","DS Node")))</f>
        <v/>
      </c>
      <c r="J292" s="13" t="str">
        <f>IF(I292="DS Node",'Characteristics&amp;Parameters'!$B$8,IF(I292&lt;='Characteristics&amp;Parameters'!$B$17,((1-'Characteristics&amp;Parameters'!$B$19)*ConcentrationsCalculations!F292+'Characteristics&amp;Parameters'!$B$19*ConcentrationsCalculations!F291-F292/86400*'Characteristics&amp;Parameters'!$B$11*'Characteristics&amp;Parameters'!$B$12),""))</f>
        <v/>
      </c>
    </row>
    <row r="293" spans="1:10" x14ac:dyDescent="0.5">
      <c r="A293" s="7" t="str">
        <f>IF(A292&lt;'Characteristics&amp;Parameters'!$B$17,ConcentrationsCalculations!A292+1,IF(A292="DS Node","",IF(A292="","","DS Node")))</f>
        <v/>
      </c>
      <c r="B293" s="8" t="str">
        <f>IF(A293&lt;='Characteristics&amp;Parameters'!$B$17,'Characteristics&amp;Parameters'!$B$7,IF(ConcentrationsCalculations!A293="DS Node",'Characteristics&amp;Parameters'!$B$8,""))</f>
        <v/>
      </c>
      <c r="C293" s="8"/>
      <c r="E293" s="7" t="s">
        <v>25</v>
      </c>
      <c r="F293" s="8" t="s">
        <v>25</v>
      </c>
      <c r="I293" s="7" t="str">
        <f>IF(I292&lt;'Characteristics&amp;Parameters'!$B$17,ConcentrationsCalculations!I292+1,IF(I292="DS Node","",IF(I292="","","DS Node")))</f>
        <v/>
      </c>
      <c r="J293" s="13" t="str">
        <f>IF(I293="DS Node",'Characteristics&amp;Parameters'!$B$8,IF(I293&lt;='Characteristics&amp;Parameters'!$B$17,((1-'Characteristics&amp;Parameters'!$B$19)*ConcentrationsCalculations!F293+'Characteristics&amp;Parameters'!$B$19*ConcentrationsCalculations!F292-F293/86400*'Characteristics&amp;Parameters'!$B$11*'Characteristics&amp;Parameters'!$B$12),""))</f>
        <v/>
      </c>
    </row>
    <row r="294" spans="1:10" x14ac:dyDescent="0.5">
      <c r="A294" s="7" t="str">
        <f>IF(A293&lt;'Characteristics&amp;Parameters'!$B$17,ConcentrationsCalculations!A293+1,IF(A293="DS Node","",IF(A293="","","DS Node")))</f>
        <v/>
      </c>
      <c r="B294" s="8" t="str">
        <f>IF(A294&lt;='Characteristics&amp;Parameters'!$B$17,'Characteristics&amp;Parameters'!$B$7,IF(ConcentrationsCalculations!A294="DS Node",'Characteristics&amp;Parameters'!$B$8,""))</f>
        <v/>
      </c>
      <c r="C294" s="8"/>
      <c r="E294" s="7" t="s">
        <v>25</v>
      </c>
      <c r="F294" s="8" t="s">
        <v>25</v>
      </c>
      <c r="I294" s="7" t="str">
        <f>IF(I293&lt;'Characteristics&amp;Parameters'!$B$17,ConcentrationsCalculations!I293+1,IF(I293="DS Node","",IF(I293="","","DS Node")))</f>
        <v/>
      </c>
      <c r="J294" s="13" t="str">
        <f>IF(I294="DS Node",'Characteristics&amp;Parameters'!$B$8,IF(I294&lt;='Characteristics&amp;Parameters'!$B$17,((1-'Characteristics&amp;Parameters'!$B$19)*ConcentrationsCalculations!F294+'Characteristics&amp;Parameters'!$B$19*ConcentrationsCalculations!F293-F294/86400*'Characteristics&amp;Parameters'!$B$11*'Characteristics&amp;Parameters'!$B$12),""))</f>
        <v/>
      </c>
    </row>
    <row r="295" spans="1:10" x14ac:dyDescent="0.5">
      <c r="A295" s="7" t="str">
        <f>IF(A294&lt;'Characteristics&amp;Parameters'!$B$17,ConcentrationsCalculations!A294+1,IF(A294="DS Node","",IF(A294="","","DS Node")))</f>
        <v/>
      </c>
      <c r="B295" s="8" t="str">
        <f>IF(A295&lt;='Characteristics&amp;Parameters'!$B$17,'Characteristics&amp;Parameters'!$B$7,IF(ConcentrationsCalculations!A295="DS Node",'Characteristics&amp;Parameters'!$B$8,""))</f>
        <v/>
      </c>
      <c r="C295" s="8"/>
      <c r="E295" s="7" t="s">
        <v>25</v>
      </c>
      <c r="F295" s="8" t="s">
        <v>25</v>
      </c>
      <c r="I295" s="7" t="str">
        <f>IF(I294&lt;'Characteristics&amp;Parameters'!$B$17,ConcentrationsCalculations!I294+1,IF(I294="DS Node","",IF(I294="","","DS Node")))</f>
        <v/>
      </c>
      <c r="J295" s="13" t="str">
        <f>IF(I295="DS Node",'Characteristics&amp;Parameters'!$B$8,IF(I295&lt;='Characteristics&amp;Parameters'!$B$17,((1-'Characteristics&amp;Parameters'!$B$19)*ConcentrationsCalculations!F295+'Characteristics&amp;Parameters'!$B$19*ConcentrationsCalculations!F294-F295/86400*'Characteristics&amp;Parameters'!$B$11*'Characteristics&amp;Parameters'!$B$12),""))</f>
        <v/>
      </c>
    </row>
    <row r="296" spans="1:10" x14ac:dyDescent="0.5">
      <c r="A296" s="7" t="str">
        <f>IF(A295&lt;'Characteristics&amp;Parameters'!$B$17,ConcentrationsCalculations!A295+1,IF(A295="DS Node","",IF(A295="","","DS Node")))</f>
        <v/>
      </c>
      <c r="B296" s="8" t="str">
        <f>IF(A296&lt;='Characteristics&amp;Parameters'!$B$17,'Characteristics&amp;Parameters'!$B$7,IF(ConcentrationsCalculations!A296="DS Node",'Characteristics&amp;Parameters'!$B$8,""))</f>
        <v/>
      </c>
      <c r="C296" s="8"/>
      <c r="E296" s="7" t="s">
        <v>25</v>
      </c>
      <c r="F296" s="8" t="s">
        <v>25</v>
      </c>
      <c r="I296" s="7" t="str">
        <f>IF(I295&lt;'Characteristics&amp;Parameters'!$B$17,ConcentrationsCalculations!I295+1,IF(I295="DS Node","",IF(I295="","","DS Node")))</f>
        <v/>
      </c>
      <c r="J296" s="13" t="str">
        <f>IF(I296="DS Node",'Characteristics&amp;Parameters'!$B$8,IF(I296&lt;='Characteristics&amp;Parameters'!$B$17,((1-'Characteristics&amp;Parameters'!$B$19)*ConcentrationsCalculations!F296+'Characteristics&amp;Parameters'!$B$19*ConcentrationsCalculations!F295-F296/86400*'Characteristics&amp;Parameters'!$B$11*'Characteristics&amp;Parameters'!$B$12),""))</f>
        <v/>
      </c>
    </row>
    <row r="297" spans="1:10" x14ac:dyDescent="0.5">
      <c r="A297" s="7" t="str">
        <f>IF(A296&lt;'Characteristics&amp;Parameters'!$B$17,ConcentrationsCalculations!A296+1,IF(A296="DS Node","",IF(A296="","","DS Node")))</f>
        <v/>
      </c>
      <c r="B297" s="8" t="str">
        <f>IF(A297&lt;='Characteristics&amp;Parameters'!$B$17,'Characteristics&amp;Parameters'!$B$7,IF(ConcentrationsCalculations!A297="DS Node",'Characteristics&amp;Parameters'!$B$8,""))</f>
        <v/>
      </c>
      <c r="C297" s="8"/>
      <c r="E297" s="7" t="s">
        <v>25</v>
      </c>
      <c r="F297" s="8" t="s">
        <v>25</v>
      </c>
      <c r="I297" s="7" t="str">
        <f>IF(I296&lt;'Characteristics&amp;Parameters'!$B$17,ConcentrationsCalculations!I296+1,IF(I296="DS Node","",IF(I296="","","DS Node")))</f>
        <v/>
      </c>
      <c r="J297" s="13" t="str">
        <f>IF(I297="DS Node",'Characteristics&amp;Parameters'!$B$8,IF(I297&lt;='Characteristics&amp;Parameters'!$B$17,((1-'Characteristics&amp;Parameters'!$B$19)*ConcentrationsCalculations!F297+'Characteristics&amp;Parameters'!$B$19*ConcentrationsCalculations!F296-F297/86400*'Characteristics&amp;Parameters'!$B$11*'Characteristics&amp;Parameters'!$B$12),""))</f>
        <v/>
      </c>
    </row>
    <row r="298" spans="1:10" x14ac:dyDescent="0.5">
      <c r="A298" s="7" t="str">
        <f>IF(A297&lt;'Characteristics&amp;Parameters'!$B$17,ConcentrationsCalculations!A297+1,IF(A297="DS Node","",IF(A297="","","DS Node")))</f>
        <v/>
      </c>
      <c r="B298" s="8" t="str">
        <f>IF(A298&lt;='Characteristics&amp;Parameters'!$B$17,'Characteristics&amp;Parameters'!$B$7,IF(ConcentrationsCalculations!A298="DS Node",'Characteristics&amp;Parameters'!$B$8,""))</f>
        <v/>
      </c>
      <c r="C298" s="8"/>
      <c r="E298" s="7" t="s">
        <v>25</v>
      </c>
      <c r="F298" s="8" t="s">
        <v>25</v>
      </c>
      <c r="I298" s="7" t="str">
        <f>IF(I297&lt;'Characteristics&amp;Parameters'!$B$17,ConcentrationsCalculations!I297+1,IF(I297="DS Node","",IF(I297="","","DS Node")))</f>
        <v/>
      </c>
      <c r="J298" s="13" t="str">
        <f>IF(I298="DS Node",'Characteristics&amp;Parameters'!$B$8,IF(I298&lt;='Characteristics&amp;Parameters'!$B$17,((1-'Characteristics&amp;Parameters'!$B$19)*ConcentrationsCalculations!F298+'Characteristics&amp;Parameters'!$B$19*ConcentrationsCalculations!F297-F298/86400*'Characteristics&amp;Parameters'!$B$11*'Characteristics&amp;Parameters'!$B$12),""))</f>
        <v/>
      </c>
    </row>
    <row r="299" spans="1:10" x14ac:dyDescent="0.5">
      <c r="A299" s="7" t="str">
        <f>IF(A298&lt;'Characteristics&amp;Parameters'!$B$17,ConcentrationsCalculations!A298+1,IF(A298="DS Node","",IF(A298="","","DS Node")))</f>
        <v/>
      </c>
      <c r="B299" s="8" t="str">
        <f>IF(A299&lt;='Characteristics&amp;Parameters'!$B$17,'Characteristics&amp;Parameters'!$B$7,IF(ConcentrationsCalculations!A299="DS Node",'Characteristics&amp;Parameters'!$B$8,""))</f>
        <v/>
      </c>
      <c r="C299" s="8"/>
      <c r="E299" s="7" t="s">
        <v>25</v>
      </c>
      <c r="F299" s="8" t="s">
        <v>25</v>
      </c>
      <c r="I299" s="7" t="str">
        <f>IF(I298&lt;'Characteristics&amp;Parameters'!$B$17,ConcentrationsCalculations!I298+1,IF(I298="DS Node","",IF(I298="","","DS Node")))</f>
        <v/>
      </c>
      <c r="J299" s="13" t="str">
        <f>IF(I299="DS Node",'Characteristics&amp;Parameters'!$B$8,IF(I299&lt;='Characteristics&amp;Parameters'!$B$17,((1-'Characteristics&amp;Parameters'!$B$19)*ConcentrationsCalculations!F299+'Characteristics&amp;Parameters'!$B$19*ConcentrationsCalculations!F298-F299/86400*'Characteristics&amp;Parameters'!$B$11*'Characteristics&amp;Parameters'!$B$12),""))</f>
        <v/>
      </c>
    </row>
    <row r="300" spans="1:10" x14ac:dyDescent="0.5">
      <c r="A300" s="7" t="str">
        <f>IF(A299&lt;'Characteristics&amp;Parameters'!$B$17,ConcentrationsCalculations!A299+1,IF(A299="DS Node","",IF(A299="","","DS Node")))</f>
        <v/>
      </c>
      <c r="B300" s="8" t="str">
        <f>IF(A300&lt;='Characteristics&amp;Parameters'!$B$17,'Characteristics&amp;Parameters'!$B$7,IF(ConcentrationsCalculations!A300="DS Node",'Characteristics&amp;Parameters'!$B$8,""))</f>
        <v/>
      </c>
      <c r="C300" s="8"/>
      <c r="E300" s="7" t="s">
        <v>25</v>
      </c>
      <c r="F300" s="8" t="s">
        <v>25</v>
      </c>
      <c r="I300" s="7" t="str">
        <f>IF(I299&lt;'Characteristics&amp;Parameters'!$B$17,ConcentrationsCalculations!I299+1,IF(I299="DS Node","",IF(I299="","","DS Node")))</f>
        <v/>
      </c>
      <c r="J300" s="13" t="str">
        <f>IF(I300="DS Node",'Characteristics&amp;Parameters'!$B$8,IF(I300&lt;='Characteristics&amp;Parameters'!$B$17,((1-'Characteristics&amp;Parameters'!$B$19)*ConcentrationsCalculations!F300+'Characteristics&amp;Parameters'!$B$19*ConcentrationsCalculations!F299-F300/86400*'Characteristics&amp;Parameters'!$B$11*'Characteristics&amp;Parameters'!$B$12),""))</f>
        <v/>
      </c>
    </row>
    <row r="301" spans="1:10" x14ac:dyDescent="0.5">
      <c r="A301" s="7" t="str">
        <f>IF(A300&lt;'Characteristics&amp;Parameters'!$B$17,ConcentrationsCalculations!A300+1,IF(A300="DS Node","",IF(A300="","","DS Node")))</f>
        <v/>
      </c>
      <c r="B301" s="8" t="str">
        <f>IF(A301&lt;='Characteristics&amp;Parameters'!$B$17,'Characteristics&amp;Parameters'!$B$7,IF(ConcentrationsCalculations!A301="DS Node",'Characteristics&amp;Parameters'!$B$8,""))</f>
        <v/>
      </c>
      <c r="C301" s="8"/>
      <c r="E301" s="7" t="s">
        <v>25</v>
      </c>
      <c r="F301" s="8" t="s">
        <v>25</v>
      </c>
      <c r="I301" s="7" t="str">
        <f>IF(I300&lt;'Characteristics&amp;Parameters'!$B$17,ConcentrationsCalculations!I300+1,IF(I300="DS Node","",IF(I300="","","DS Node")))</f>
        <v/>
      </c>
      <c r="J301" s="13" t="str">
        <f>IF(I301="DS Node",'Characteristics&amp;Parameters'!$B$8,IF(I301&lt;='Characteristics&amp;Parameters'!$B$17,((1-'Characteristics&amp;Parameters'!$B$19)*ConcentrationsCalculations!F301+'Characteristics&amp;Parameters'!$B$19*ConcentrationsCalculations!F300-F301/86400*'Characteristics&amp;Parameters'!$B$11*'Characteristics&amp;Parameters'!$B$12),""))</f>
        <v/>
      </c>
    </row>
    <row r="302" spans="1:10" x14ac:dyDescent="0.5">
      <c r="A302" s="7" t="str">
        <f>IF(A301&lt;'Characteristics&amp;Parameters'!$B$17,ConcentrationsCalculations!A301+1,IF(A301="DS Node","",IF(A301="","","DS Node")))</f>
        <v/>
      </c>
      <c r="B302" s="8" t="str">
        <f>IF(A302&lt;='Characteristics&amp;Parameters'!$B$17,'Characteristics&amp;Parameters'!$B$7,IF(ConcentrationsCalculations!A302="DS Node",'Characteristics&amp;Parameters'!$B$8,""))</f>
        <v/>
      </c>
      <c r="C302" s="8"/>
      <c r="E302" s="7" t="s">
        <v>25</v>
      </c>
      <c r="F302" s="8" t="s">
        <v>25</v>
      </c>
      <c r="I302" s="7" t="str">
        <f>IF(I301&lt;'Characteristics&amp;Parameters'!$B$17,ConcentrationsCalculations!I301+1,IF(I301="DS Node","",IF(I301="","","DS Node")))</f>
        <v/>
      </c>
      <c r="J302" s="13" t="str">
        <f>IF(I302="DS Node",'Characteristics&amp;Parameters'!$B$8,IF(I302&lt;='Characteristics&amp;Parameters'!$B$17,((1-'Characteristics&amp;Parameters'!$B$19)*ConcentrationsCalculations!F302+'Characteristics&amp;Parameters'!$B$19*ConcentrationsCalculations!F301-F302/86400*'Characteristics&amp;Parameters'!$B$11*'Characteristics&amp;Parameters'!$B$12),""))</f>
        <v/>
      </c>
    </row>
    <row r="303" spans="1:10" x14ac:dyDescent="0.5">
      <c r="A303" s="7" t="str">
        <f>IF(A302&lt;'Characteristics&amp;Parameters'!$B$17,ConcentrationsCalculations!A302+1,IF(A302="DS Node","",IF(A302="","","DS Node")))</f>
        <v/>
      </c>
      <c r="B303" s="8" t="str">
        <f>IF(A303&lt;='Characteristics&amp;Parameters'!$B$17,'Characteristics&amp;Parameters'!$B$7,IF(ConcentrationsCalculations!A303="DS Node",'Characteristics&amp;Parameters'!$B$8,""))</f>
        <v/>
      </c>
      <c r="C303" s="8"/>
      <c r="E303" s="7" t="s">
        <v>25</v>
      </c>
      <c r="F303" s="8" t="s">
        <v>25</v>
      </c>
      <c r="I303" s="7" t="str">
        <f>IF(I302&lt;'Characteristics&amp;Parameters'!$B$17,ConcentrationsCalculations!I302+1,IF(I302="DS Node","",IF(I302="","","DS Node")))</f>
        <v/>
      </c>
      <c r="J303" s="13" t="str">
        <f>IF(I303="DS Node",'Characteristics&amp;Parameters'!$B$8,IF(I303&lt;='Characteristics&amp;Parameters'!$B$17,((1-'Characteristics&amp;Parameters'!$B$19)*ConcentrationsCalculations!F303+'Characteristics&amp;Parameters'!$B$19*ConcentrationsCalculations!F302-F303/86400*'Characteristics&amp;Parameters'!$B$11*'Characteristics&amp;Parameters'!$B$12),""))</f>
        <v/>
      </c>
    </row>
    <row r="304" spans="1:10" x14ac:dyDescent="0.5">
      <c r="A304" s="7" t="str">
        <f>IF(A303&lt;'Characteristics&amp;Parameters'!$B$17,ConcentrationsCalculations!A303+1,IF(A303="DS Node","",IF(A303="","","DS Node")))</f>
        <v/>
      </c>
      <c r="B304" s="8" t="str">
        <f>IF(A304&lt;='Characteristics&amp;Parameters'!$B$17,'Characteristics&amp;Parameters'!$B$7,IF(ConcentrationsCalculations!A304="DS Node",'Characteristics&amp;Parameters'!$B$8,""))</f>
        <v/>
      </c>
      <c r="C304" s="8"/>
      <c r="E304" s="7" t="s">
        <v>25</v>
      </c>
      <c r="F304" s="8" t="s">
        <v>25</v>
      </c>
      <c r="I304" s="7" t="str">
        <f>IF(I303&lt;'Characteristics&amp;Parameters'!$B$17,ConcentrationsCalculations!I303+1,IF(I303="DS Node","",IF(I303="","","DS Node")))</f>
        <v/>
      </c>
      <c r="J304" s="13" t="str">
        <f>IF(I304="DS Node",'Characteristics&amp;Parameters'!$B$8,IF(I304&lt;='Characteristics&amp;Parameters'!$B$17,((1-'Characteristics&amp;Parameters'!$B$19)*ConcentrationsCalculations!F304+'Characteristics&amp;Parameters'!$B$19*ConcentrationsCalculations!F303-F304/86400*'Characteristics&amp;Parameters'!$B$11*'Characteristics&amp;Parameters'!$B$12),""))</f>
        <v/>
      </c>
    </row>
    <row r="305" spans="1:10" x14ac:dyDescent="0.5">
      <c r="A305" s="7" t="str">
        <f>IF(A304&lt;'Characteristics&amp;Parameters'!$B$17,ConcentrationsCalculations!A304+1,IF(A304="DS Node","",IF(A304="","","DS Node")))</f>
        <v/>
      </c>
      <c r="B305" s="8" t="str">
        <f>IF(A305&lt;='Characteristics&amp;Parameters'!$B$17,'Characteristics&amp;Parameters'!$B$7,IF(ConcentrationsCalculations!A305="DS Node",'Characteristics&amp;Parameters'!$B$8,""))</f>
        <v/>
      </c>
      <c r="C305" s="8"/>
      <c r="E305" s="7" t="s">
        <v>25</v>
      </c>
      <c r="F305" s="8" t="s">
        <v>25</v>
      </c>
      <c r="I305" s="7" t="str">
        <f>IF(I304&lt;'Characteristics&amp;Parameters'!$B$17,ConcentrationsCalculations!I304+1,IF(I304="DS Node","",IF(I304="","","DS Node")))</f>
        <v/>
      </c>
      <c r="J305" s="13" t="str">
        <f>IF(I305="DS Node",'Characteristics&amp;Parameters'!$B$8,IF(I305&lt;='Characteristics&amp;Parameters'!$B$17,((1-'Characteristics&amp;Parameters'!$B$19)*ConcentrationsCalculations!F305+'Characteristics&amp;Parameters'!$B$19*ConcentrationsCalculations!F304-F305/86400*'Characteristics&amp;Parameters'!$B$11*'Characteristics&amp;Parameters'!$B$12),""))</f>
        <v/>
      </c>
    </row>
    <row r="306" spans="1:10" x14ac:dyDescent="0.5">
      <c r="A306" s="7" t="str">
        <f>IF(A305&lt;'Characteristics&amp;Parameters'!$B$17,ConcentrationsCalculations!A305+1,IF(A305="DS Node","",IF(A305="","","DS Node")))</f>
        <v/>
      </c>
      <c r="B306" s="8" t="str">
        <f>IF(A306&lt;='Characteristics&amp;Parameters'!$B$17,'Characteristics&amp;Parameters'!$B$7,IF(ConcentrationsCalculations!A306="DS Node",'Characteristics&amp;Parameters'!$B$8,""))</f>
        <v/>
      </c>
      <c r="C306" s="8"/>
      <c r="E306" s="7" t="s">
        <v>25</v>
      </c>
      <c r="F306" s="8" t="s">
        <v>25</v>
      </c>
      <c r="I306" s="7" t="str">
        <f>IF(I305&lt;'Characteristics&amp;Parameters'!$B$17,ConcentrationsCalculations!I305+1,IF(I305="DS Node","",IF(I305="","","DS Node")))</f>
        <v/>
      </c>
      <c r="J306" s="13" t="str">
        <f>IF(I306="DS Node",'Characteristics&amp;Parameters'!$B$8,IF(I306&lt;='Characteristics&amp;Parameters'!$B$17,((1-'Characteristics&amp;Parameters'!$B$19)*ConcentrationsCalculations!F306+'Characteristics&amp;Parameters'!$B$19*ConcentrationsCalculations!F305-F306/86400*'Characteristics&amp;Parameters'!$B$11*'Characteristics&amp;Parameters'!$B$12),""))</f>
        <v/>
      </c>
    </row>
    <row r="307" spans="1:10" x14ac:dyDescent="0.5">
      <c r="A307" s="7" t="str">
        <f>IF(A306&lt;'Characteristics&amp;Parameters'!$B$17,ConcentrationsCalculations!A306+1,IF(A306="DS Node","",IF(A306="","","DS Node")))</f>
        <v/>
      </c>
      <c r="B307" s="8" t="str">
        <f>IF(A307&lt;='Characteristics&amp;Parameters'!$B$17,'Characteristics&amp;Parameters'!$B$7,IF(ConcentrationsCalculations!A307="DS Node",'Characteristics&amp;Parameters'!$B$8,""))</f>
        <v/>
      </c>
      <c r="C307" s="8"/>
      <c r="E307" s="7" t="s">
        <v>25</v>
      </c>
      <c r="F307" s="8" t="s">
        <v>25</v>
      </c>
      <c r="I307" s="7" t="str">
        <f>IF(I306&lt;'Characteristics&amp;Parameters'!$B$17,ConcentrationsCalculations!I306+1,IF(I306="DS Node","",IF(I306="","","DS Node")))</f>
        <v/>
      </c>
      <c r="J307" s="13" t="str">
        <f>IF(I307="DS Node",'Characteristics&amp;Parameters'!$B$8,IF(I307&lt;='Characteristics&amp;Parameters'!$B$17,((1-'Characteristics&amp;Parameters'!$B$19)*ConcentrationsCalculations!F307+'Characteristics&amp;Parameters'!$B$19*ConcentrationsCalculations!F306-F307/86400*'Characteristics&amp;Parameters'!$B$11*'Characteristics&amp;Parameters'!$B$12),""))</f>
        <v/>
      </c>
    </row>
    <row r="308" spans="1:10" x14ac:dyDescent="0.5">
      <c r="A308" s="7" t="str">
        <f>IF(A307&lt;'Characteristics&amp;Parameters'!$B$17,ConcentrationsCalculations!A307+1,IF(A307="DS Node","",IF(A307="","","DS Node")))</f>
        <v/>
      </c>
      <c r="B308" s="8" t="str">
        <f>IF(A308&lt;='Characteristics&amp;Parameters'!$B$17,'Characteristics&amp;Parameters'!$B$7,IF(ConcentrationsCalculations!A308="DS Node",'Characteristics&amp;Parameters'!$B$8,""))</f>
        <v/>
      </c>
      <c r="C308" s="8"/>
      <c r="E308" s="7" t="s">
        <v>25</v>
      </c>
      <c r="F308" s="8" t="s">
        <v>25</v>
      </c>
      <c r="I308" s="7" t="str">
        <f>IF(I307&lt;'Characteristics&amp;Parameters'!$B$17,ConcentrationsCalculations!I307+1,IF(I307="DS Node","",IF(I307="","","DS Node")))</f>
        <v/>
      </c>
      <c r="J308" s="13" t="str">
        <f>IF(I308="DS Node",'Characteristics&amp;Parameters'!$B$8,IF(I308&lt;='Characteristics&amp;Parameters'!$B$17,((1-'Characteristics&amp;Parameters'!$B$19)*ConcentrationsCalculations!F308+'Characteristics&amp;Parameters'!$B$19*ConcentrationsCalculations!F307-F308/86400*'Characteristics&amp;Parameters'!$B$11*'Characteristics&amp;Parameters'!$B$12),""))</f>
        <v/>
      </c>
    </row>
    <row r="309" spans="1:10" x14ac:dyDescent="0.5">
      <c r="A309" s="7" t="str">
        <f>IF(A308&lt;'Characteristics&amp;Parameters'!$B$17,ConcentrationsCalculations!A308+1,IF(A308="DS Node","",IF(A308="","","DS Node")))</f>
        <v/>
      </c>
      <c r="B309" s="8" t="str">
        <f>IF(A309&lt;='Characteristics&amp;Parameters'!$B$17,'Characteristics&amp;Parameters'!$B$7,IF(ConcentrationsCalculations!A309="DS Node",'Characteristics&amp;Parameters'!$B$8,""))</f>
        <v/>
      </c>
      <c r="C309" s="8"/>
      <c r="E309" s="7" t="s">
        <v>25</v>
      </c>
      <c r="F309" s="8" t="s">
        <v>25</v>
      </c>
      <c r="I309" s="7" t="str">
        <f>IF(I308&lt;'Characteristics&amp;Parameters'!$B$17,ConcentrationsCalculations!I308+1,IF(I308="DS Node","",IF(I308="","","DS Node")))</f>
        <v/>
      </c>
      <c r="J309" s="13" t="str">
        <f>IF(I309="DS Node",'Characteristics&amp;Parameters'!$B$8,IF(I309&lt;='Characteristics&amp;Parameters'!$B$17,((1-'Characteristics&amp;Parameters'!$B$19)*ConcentrationsCalculations!F309+'Characteristics&amp;Parameters'!$B$19*ConcentrationsCalculations!F308-F309/86400*'Characteristics&amp;Parameters'!$B$11*'Characteristics&amp;Parameters'!$B$12),""))</f>
        <v/>
      </c>
    </row>
    <row r="310" spans="1:10" x14ac:dyDescent="0.5">
      <c r="A310" s="7" t="str">
        <f>IF(A309&lt;'Characteristics&amp;Parameters'!$B$17,ConcentrationsCalculations!A309+1,IF(A309="DS Node","",IF(A309="","","DS Node")))</f>
        <v/>
      </c>
      <c r="B310" s="8" t="str">
        <f>IF(A310&lt;='Characteristics&amp;Parameters'!$B$17,'Characteristics&amp;Parameters'!$B$7,IF(ConcentrationsCalculations!A310="DS Node",'Characteristics&amp;Parameters'!$B$8,""))</f>
        <v/>
      </c>
      <c r="C310" s="8"/>
      <c r="E310" s="7" t="s">
        <v>25</v>
      </c>
      <c r="F310" s="8" t="s">
        <v>25</v>
      </c>
      <c r="I310" s="7" t="str">
        <f>IF(I309&lt;'Characteristics&amp;Parameters'!$B$17,ConcentrationsCalculations!I309+1,IF(I309="DS Node","",IF(I309="","","DS Node")))</f>
        <v/>
      </c>
      <c r="J310" s="13" t="str">
        <f>IF(I310="DS Node",'Characteristics&amp;Parameters'!$B$8,IF(I310&lt;='Characteristics&amp;Parameters'!$B$17,((1-'Characteristics&amp;Parameters'!$B$19)*ConcentrationsCalculations!F310+'Characteristics&amp;Parameters'!$B$19*ConcentrationsCalculations!F309-F310/86400*'Characteristics&amp;Parameters'!$B$11*'Characteristics&amp;Parameters'!$B$12),""))</f>
        <v/>
      </c>
    </row>
    <row r="311" spans="1:10" x14ac:dyDescent="0.5">
      <c r="A311" s="7" t="str">
        <f>IF(A310&lt;'Characteristics&amp;Parameters'!$B$17,ConcentrationsCalculations!A310+1,IF(A310="DS Node","",IF(A310="","","DS Node")))</f>
        <v/>
      </c>
      <c r="B311" s="8" t="str">
        <f>IF(A311&lt;='Characteristics&amp;Parameters'!$B$17,'Characteristics&amp;Parameters'!$B$7,IF(ConcentrationsCalculations!A311="DS Node",'Characteristics&amp;Parameters'!$B$8,""))</f>
        <v/>
      </c>
      <c r="C311" s="8"/>
      <c r="E311" s="7" t="s">
        <v>25</v>
      </c>
      <c r="F311" s="8" t="s">
        <v>25</v>
      </c>
      <c r="I311" s="7" t="str">
        <f>IF(I310&lt;'Characteristics&amp;Parameters'!$B$17,ConcentrationsCalculations!I310+1,IF(I310="DS Node","",IF(I310="","","DS Node")))</f>
        <v/>
      </c>
      <c r="J311" s="13" t="str">
        <f>IF(I311="DS Node",'Characteristics&amp;Parameters'!$B$8,IF(I311&lt;='Characteristics&amp;Parameters'!$B$17,((1-'Characteristics&amp;Parameters'!$B$19)*ConcentrationsCalculations!F311+'Characteristics&amp;Parameters'!$B$19*ConcentrationsCalculations!F310-F311/86400*'Characteristics&amp;Parameters'!$B$11*'Characteristics&amp;Parameters'!$B$12),""))</f>
        <v/>
      </c>
    </row>
    <row r="312" spans="1:10" x14ac:dyDescent="0.5">
      <c r="A312" s="7" t="str">
        <f>IF(A311&lt;'Characteristics&amp;Parameters'!$B$17,ConcentrationsCalculations!A311+1,IF(A311="DS Node","",IF(A311="","","DS Node")))</f>
        <v/>
      </c>
      <c r="B312" s="8" t="str">
        <f>IF(A312&lt;='Characteristics&amp;Parameters'!$B$17,'Characteristics&amp;Parameters'!$B$7,IF(ConcentrationsCalculations!A312="DS Node",'Characteristics&amp;Parameters'!$B$8,""))</f>
        <v/>
      </c>
      <c r="C312" s="8"/>
      <c r="E312" s="7" t="s">
        <v>25</v>
      </c>
      <c r="F312" s="8" t="s">
        <v>25</v>
      </c>
      <c r="I312" s="7" t="str">
        <f>IF(I311&lt;'Characteristics&amp;Parameters'!$B$17,ConcentrationsCalculations!I311+1,IF(I311="DS Node","",IF(I311="","","DS Node")))</f>
        <v/>
      </c>
      <c r="J312" s="13" t="str">
        <f>IF(I312="DS Node",'Characteristics&amp;Parameters'!$B$8,IF(I312&lt;='Characteristics&amp;Parameters'!$B$17,((1-'Characteristics&amp;Parameters'!$B$19)*ConcentrationsCalculations!F312+'Characteristics&amp;Parameters'!$B$19*ConcentrationsCalculations!F311-F312/86400*'Characteristics&amp;Parameters'!$B$11*'Characteristics&amp;Parameters'!$B$12),""))</f>
        <v/>
      </c>
    </row>
    <row r="313" spans="1:10" x14ac:dyDescent="0.5">
      <c r="A313" s="7" t="str">
        <f>IF(A312&lt;'Characteristics&amp;Parameters'!$B$17,ConcentrationsCalculations!A312+1,IF(A312="DS Node","",IF(A312="","","DS Node")))</f>
        <v/>
      </c>
      <c r="B313" s="8" t="str">
        <f>IF(A313&lt;='Characteristics&amp;Parameters'!$B$17,'Characteristics&amp;Parameters'!$B$7,IF(ConcentrationsCalculations!A313="DS Node",'Characteristics&amp;Parameters'!$B$8,""))</f>
        <v/>
      </c>
      <c r="C313" s="8"/>
      <c r="E313" s="7" t="s">
        <v>25</v>
      </c>
      <c r="F313" s="8" t="s">
        <v>25</v>
      </c>
      <c r="I313" s="7" t="str">
        <f>IF(I312&lt;'Characteristics&amp;Parameters'!$B$17,ConcentrationsCalculations!I312+1,IF(I312="DS Node","",IF(I312="","","DS Node")))</f>
        <v/>
      </c>
      <c r="J313" s="13" t="str">
        <f>IF(I313="DS Node",'Characteristics&amp;Parameters'!$B$8,IF(I313&lt;='Characteristics&amp;Parameters'!$B$17,((1-'Characteristics&amp;Parameters'!$B$19)*ConcentrationsCalculations!F313+'Characteristics&amp;Parameters'!$B$19*ConcentrationsCalculations!F312-F313/86400*'Characteristics&amp;Parameters'!$B$11*'Characteristics&amp;Parameters'!$B$12),""))</f>
        <v/>
      </c>
    </row>
    <row r="314" spans="1:10" x14ac:dyDescent="0.5">
      <c r="A314" s="7" t="str">
        <f>IF(A313&lt;'Characteristics&amp;Parameters'!$B$17,ConcentrationsCalculations!A313+1,IF(A313="DS Node","",IF(A313="","","DS Node")))</f>
        <v/>
      </c>
      <c r="B314" s="8" t="str">
        <f>IF(A314&lt;='Characteristics&amp;Parameters'!$B$17,'Characteristics&amp;Parameters'!$B$7,IF(ConcentrationsCalculations!A314="DS Node",'Characteristics&amp;Parameters'!$B$8,""))</f>
        <v/>
      </c>
      <c r="C314" s="8"/>
      <c r="E314" s="7" t="s">
        <v>25</v>
      </c>
      <c r="F314" s="8" t="s">
        <v>25</v>
      </c>
      <c r="I314" s="7" t="str">
        <f>IF(I313&lt;'Characteristics&amp;Parameters'!$B$17,ConcentrationsCalculations!I313+1,IF(I313="DS Node","",IF(I313="","","DS Node")))</f>
        <v/>
      </c>
      <c r="J314" s="13" t="str">
        <f>IF(I314="DS Node",'Characteristics&amp;Parameters'!$B$8,IF(I314&lt;='Characteristics&amp;Parameters'!$B$17,((1-'Characteristics&amp;Parameters'!$B$19)*ConcentrationsCalculations!F314+'Characteristics&amp;Parameters'!$B$19*ConcentrationsCalculations!F313-F314/86400*'Characteristics&amp;Parameters'!$B$11*'Characteristics&amp;Parameters'!$B$12),""))</f>
        <v/>
      </c>
    </row>
    <row r="315" spans="1:10" x14ac:dyDescent="0.5">
      <c r="A315" s="7" t="str">
        <f>IF(A314&lt;'Characteristics&amp;Parameters'!$B$17,ConcentrationsCalculations!A314+1,IF(A314="DS Node","",IF(A314="","","DS Node")))</f>
        <v/>
      </c>
      <c r="B315" s="8" t="str">
        <f>IF(A315&lt;='Characteristics&amp;Parameters'!$B$17,'Characteristics&amp;Parameters'!$B$7,IF(ConcentrationsCalculations!A315="DS Node",'Characteristics&amp;Parameters'!$B$8,""))</f>
        <v/>
      </c>
      <c r="C315" s="8"/>
      <c r="E315" s="7" t="s">
        <v>25</v>
      </c>
      <c r="F315" s="8" t="s">
        <v>25</v>
      </c>
      <c r="I315" s="7" t="str">
        <f>IF(I314&lt;'Characteristics&amp;Parameters'!$B$17,ConcentrationsCalculations!I314+1,IF(I314="DS Node","",IF(I314="","","DS Node")))</f>
        <v/>
      </c>
      <c r="J315" s="13" t="str">
        <f>IF(I315="DS Node",'Characteristics&amp;Parameters'!$B$8,IF(I315&lt;='Characteristics&amp;Parameters'!$B$17,((1-'Characteristics&amp;Parameters'!$B$19)*ConcentrationsCalculations!F315+'Characteristics&amp;Parameters'!$B$19*ConcentrationsCalculations!F314-F315/86400*'Characteristics&amp;Parameters'!$B$11*'Characteristics&amp;Parameters'!$B$12),""))</f>
        <v/>
      </c>
    </row>
    <row r="316" spans="1:10" x14ac:dyDescent="0.5">
      <c r="A316" s="7" t="str">
        <f>IF(A315&lt;'Characteristics&amp;Parameters'!$B$17,ConcentrationsCalculations!A315+1,IF(A315="DS Node","",IF(A315="","","DS Node")))</f>
        <v/>
      </c>
      <c r="B316" s="8" t="str">
        <f>IF(A316&lt;='Characteristics&amp;Parameters'!$B$17,'Characteristics&amp;Parameters'!$B$7,IF(ConcentrationsCalculations!A316="DS Node",'Characteristics&amp;Parameters'!$B$8,""))</f>
        <v/>
      </c>
      <c r="C316" s="8"/>
      <c r="E316" s="7" t="s">
        <v>25</v>
      </c>
      <c r="F316" s="8" t="s">
        <v>25</v>
      </c>
      <c r="I316" s="7" t="str">
        <f>IF(I315&lt;'Characteristics&amp;Parameters'!$B$17,ConcentrationsCalculations!I315+1,IF(I315="DS Node","",IF(I315="","","DS Node")))</f>
        <v/>
      </c>
      <c r="J316" s="13" t="str">
        <f>IF(I316="DS Node",'Characteristics&amp;Parameters'!$B$8,IF(I316&lt;='Characteristics&amp;Parameters'!$B$17,((1-'Characteristics&amp;Parameters'!$B$19)*ConcentrationsCalculations!F316+'Characteristics&amp;Parameters'!$B$19*ConcentrationsCalculations!F315-F316/86400*'Characteristics&amp;Parameters'!$B$11*'Characteristics&amp;Parameters'!$B$12),""))</f>
        <v/>
      </c>
    </row>
    <row r="317" spans="1:10" x14ac:dyDescent="0.5">
      <c r="A317" s="7" t="str">
        <f>IF(A316&lt;'Characteristics&amp;Parameters'!$B$17,ConcentrationsCalculations!A316+1,IF(A316="DS Node","",IF(A316="","","DS Node")))</f>
        <v/>
      </c>
      <c r="B317" s="8" t="str">
        <f>IF(A317&lt;='Characteristics&amp;Parameters'!$B$17,'Characteristics&amp;Parameters'!$B$7,IF(ConcentrationsCalculations!A317="DS Node",'Characteristics&amp;Parameters'!$B$8,""))</f>
        <v/>
      </c>
      <c r="C317" s="8"/>
      <c r="E317" s="7" t="s">
        <v>25</v>
      </c>
      <c r="F317" s="8" t="s">
        <v>25</v>
      </c>
      <c r="I317" s="7" t="str">
        <f>IF(I316&lt;'Characteristics&amp;Parameters'!$B$17,ConcentrationsCalculations!I316+1,IF(I316="DS Node","",IF(I316="","","DS Node")))</f>
        <v/>
      </c>
      <c r="J317" s="13" t="str">
        <f>IF(I317="DS Node",'Characteristics&amp;Parameters'!$B$8,IF(I317&lt;='Characteristics&amp;Parameters'!$B$17,((1-'Characteristics&amp;Parameters'!$B$19)*ConcentrationsCalculations!F317+'Characteristics&amp;Parameters'!$B$19*ConcentrationsCalculations!F316-F317/86400*'Characteristics&amp;Parameters'!$B$11*'Characteristics&amp;Parameters'!$B$12),""))</f>
        <v/>
      </c>
    </row>
    <row r="318" spans="1:10" x14ac:dyDescent="0.5">
      <c r="A318" s="7" t="str">
        <f>IF(A317&lt;'Characteristics&amp;Parameters'!$B$17,ConcentrationsCalculations!A317+1,IF(A317="DS Node","",IF(A317="","","DS Node")))</f>
        <v/>
      </c>
      <c r="B318" s="8" t="str">
        <f>IF(A318&lt;='Characteristics&amp;Parameters'!$B$17,'Characteristics&amp;Parameters'!$B$7,IF(ConcentrationsCalculations!A318="DS Node",'Characteristics&amp;Parameters'!$B$8,""))</f>
        <v/>
      </c>
      <c r="C318" s="8"/>
      <c r="E318" s="7" t="s">
        <v>25</v>
      </c>
      <c r="F318" s="8" t="s">
        <v>25</v>
      </c>
      <c r="I318" s="7" t="str">
        <f>IF(I317&lt;'Characteristics&amp;Parameters'!$B$17,ConcentrationsCalculations!I317+1,IF(I317="DS Node","",IF(I317="","","DS Node")))</f>
        <v/>
      </c>
      <c r="J318" s="13" t="str">
        <f>IF(I318="DS Node",'Characteristics&amp;Parameters'!$B$8,IF(I318&lt;='Characteristics&amp;Parameters'!$B$17,((1-'Characteristics&amp;Parameters'!$B$19)*ConcentrationsCalculations!F318+'Characteristics&amp;Parameters'!$B$19*ConcentrationsCalculations!F317-F318/86400*'Characteristics&amp;Parameters'!$B$11*'Characteristics&amp;Parameters'!$B$12),""))</f>
        <v/>
      </c>
    </row>
    <row r="319" spans="1:10" x14ac:dyDescent="0.5">
      <c r="A319" s="7" t="str">
        <f>IF(A318&lt;'Characteristics&amp;Parameters'!$B$17,ConcentrationsCalculations!A318+1,IF(A318="DS Node","",IF(A318="","","DS Node")))</f>
        <v/>
      </c>
      <c r="B319" s="8" t="str">
        <f>IF(A319&lt;='Characteristics&amp;Parameters'!$B$17,'Characteristics&amp;Parameters'!$B$7,IF(ConcentrationsCalculations!A319="DS Node",'Characteristics&amp;Parameters'!$B$8,""))</f>
        <v/>
      </c>
      <c r="C319" s="8"/>
      <c r="E319" s="7" t="s">
        <v>25</v>
      </c>
      <c r="F319" s="8" t="s">
        <v>25</v>
      </c>
      <c r="I319" s="7" t="str">
        <f>IF(I318&lt;'Characteristics&amp;Parameters'!$B$17,ConcentrationsCalculations!I318+1,IF(I318="DS Node","",IF(I318="","","DS Node")))</f>
        <v/>
      </c>
      <c r="J319" s="13" t="str">
        <f>IF(I319="DS Node",'Characteristics&amp;Parameters'!$B$8,IF(I319&lt;='Characteristics&amp;Parameters'!$B$17,((1-'Characteristics&amp;Parameters'!$B$19)*ConcentrationsCalculations!F319+'Characteristics&amp;Parameters'!$B$19*ConcentrationsCalculations!F318-F319/86400*'Characteristics&amp;Parameters'!$B$11*'Characteristics&amp;Parameters'!$B$12),""))</f>
        <v/>
      </c>
    </row>
    <row r="320" spans="1:10" x14ac:dyDescent="0.5">
      <c r="A320" s="7" t="str">
        <f>IF(A319&lt;'Characteristics&amp;Parameters'!$B$17,ConcentrationsCalculations!A319+1,IF(A319="DS Node","",IF(A319="","","DS Node")))</f>
        <v/>
      </c>
      <c r="B320" s="8" t="str">
        <f>IF(A320&lt;='Characteristics&amp;Parameters'!$B$17,'Characteristics&amp;Parameters'!$B$7,IF(ConcentrationsCalculations!A320="DS Node",'Characteristics&amp;Parameters'!$B$8,""))</f>
        <v/>
      </c>
      <c r="C320" s="8"/>
      <c r="E320" s="7" t="s">
        <v>25</v>
      </c>
      <c r="F320" s="8" t="s">
        <v>25</v>
      </c>
      <c r="I320" s="7" t="str">
        <f>IF(I319&lt;'Characteristics&amp;Parameters'!$B$17,ConcentrationsCalculations!I319+1,IF(I319="DS Node","",IF(I319="","","DS Node")))</f>
        <v/>
      </c>
      <c r="J320" s="13" t="str">
        <f>IF(I320="DS Node",'Characteristics&amp;Parameters'!$B$8,IF(I320&lt;='Characteristics&amp;Parameters'!$B$17,((1-'Characteristics&amp;Parameters'!$B$19)*ConcentrationsCalculations!F320+'Characteristics&amp;Parameters'!$B$19*ConcentrationsCalculations!F319-F320/86400*'Characteristics&amp;Parameters'!$B$11*'Characteristics&amp;Parameters'!$B$12),""))</f>
        <v/>
      </c>
    </row>
    <row r="321" spans="1:10" x14ac:dyDescent="0.5">
      <c r="A321" s="7" t="str">
        <f>IF(A320&lt;'Characteristics&amp;Parameters'!$B$17,ConcentrationsCalculations!A320+1,IF(A320="DS Node","",IF(A320="","","DS Node")))</f>
        <v/>
      </c>
      <c r="B321" s="8" t="str">
        <f>IF(A321&lt;='Characteristics&amp;Parameters'!$B$17,'Characteristics&amp;Parameters'!$B$7,IF(ConcentrationsCalculations!A321="DS Node",'Characteristics&amp;Parameters'!$B$8,""))</f>
        <v/>
      </c>
      <c r="C321" s="8"/>
      <c r="E321" s="7" t="s">
        <v>25</v>
      </c>
      <c r="F321" s="8" t="s">
        <v>25</v>
      </c>
      <c r="I321" s="7" t="str">
        <f>IF(I320&lt;'Characteristics&amp;Parameters'!$B$17,ConcentrationsCalculations!I320+1,IF(I320="DS Node","",IF(I320="","","DS Node")))</f>
        <v/>
      </c>
      <c r="J321" s="13" t="str">
        <f>IF(I321="DS Node",'Characteristics&amp;Parameters'!$B$8,IF(I321&lt;='Characteristics&amp;Parameters'!$B$17,((1-'Characteristics&amp;Parameters'!$B$19)*ConcentrationsCalculations!F321+'Characteristics&amp;Parameters'!$B$19*ConcentrationsCalculations!F320-F321/86400*'Characteristics&amp;Parameters'!$B$11*'Characteristics&amp;Parameters'!$B$12),""))</f>
        <v/>
      </c>
    </row>
    <row r="322" spans="1:10" x14ac:dyDescent="0.5">
      <c r="A322" s="7" t="str">
        <f>IF(A321&lt;'Characteristics&amp;Parameters'!$B$17,ConcentrationsCalculations!A321+1,IF(A321="DS Node","",IF(A321="","","DS Node")))</f>
        <v/>
      </c>
      <c r="B322" s="8" t="str">
        <f>IF(A322&lt;='Characteristics&amp;Parameters'!$B$17,'Characteristics&amp;Parameters'!$B$7,IF(ConcentrationsCalculations!A322="DS Node",'Characteristics&amp;Parameters'!$B$8,""))</f>
        <v/>
      </c>
      <c r="C322" s="8"/>
      <c r="E322" s="7" t="s">
        <v>25</v>
      </c>
      <c r="F322" s="8" t="s">
        <v>25</v>
      </c>
      <c r="I322" s="7" t="str">
        <f>IF(I321&lt;'Characteristics&amp;Parameters'!$B$17,ConcentrationsCalculations!I321+1,IF(I321="DS Node","",IF(I321="","","DS Node")))</f>
        <v/>
      </c>
      <c r="J322" s="13" t="str">
        <f>IF(I322="DS Node",'Characteristics&amp;Parameters'!$B$8,IF(I322&lt;='Characteristics&amp;Parameters'!$B$17,((1-'Characteristics&amp;Parameters'!$B$19)*ConcentrationsCalculations!F322+'Characteristics&amp;Parameters'!$B$19*ConcentrationsCalculations!F321-F322/86400*'Characteristics&amp;Parameters'!$B$11*'Characteristics&amp;Parameters'!$B$12),""))</f>
        <v/>
      </c>
    </row>
    <row r="323" spans="1:10" x14ac:dyDescent="0.5">
      <c r="A323" s="7" t="str">
        <f>IF(A322&lt;'Characteristics&amp;Parameters'!$B$17,ConcentrationsCalculations!A322+1,IF(A322="DS Node","",IF(A322="","","DS Node")))</f>
        <v/>
      </c>
      <c r="B323" s="8" t="str">
        <f>IF(A323&lt;='Characteristics&amp;Parameters'!$B$17,'Characteristics&amp;Parameters'!$B$7,IF(ConcentrationsCalculations!A323="DS Node",'Characteristics&amp;Parameters'!$B$8,""))</f>
        <v/>
      </c>
      <c r="C323" s="8"/>
      <c r="E323" s="7" t="s">
        <v>25</v>
      </c>
      <c r="F323" s="8" t="s">
        <v>25</v>
      </c>
      <c r="I323" s="7" t="str">
        <f>IF(I322&lt;'Characteristics&amp;Parameters'!$B$17,ConcentrationsCalculations!I322+1,IF(I322="DS Node","",IF(I322="","","DS Node")))</f>
        <v/>
      </c>
      <c r="J323" s="13" t="str">
        <f>IF(I323="DS Node",'Characteristics&amp;Parameters'!$B$8,IF(I323&lt;='Characteristics&amp;Parameters'!$B$17,((1-'Characteristics&amp;Parameters'!$B$19)*ConcentrationsCalculations!F323+'Characteristics&amp;Parameters'!$B$19*ConcentrationsCalculations!F322-F323/86400*'Characteristics&amp;Parameters'!$B$11*'Characteristics&amp;Parameters'!$B$12),""))</f>
        <v/>
      </c>
    </row>
    <row r="324" spans="1:10" x14ac:dyDescent="0.5">
      <c r="A324" s="7" t="str">
        <f>IF(A323&lt;'Characteristics&amp;Parameters'!$B$17,ConcentrationsCalculations!A323+1,IF(A323="DS Node","",IF(A323="","","DS Node")))</f>
        <v/>
      </c>
      <c r="B324" s="8" t="str">
        <f>IF(A324&lt;='Characteristics&amp;Parameters'!$B$17,'Characteristics&amp;Parameters'!$B$7,IF(ConcentrationsCalculations!A324="DS Node",'Characteristics&amp;Parameters'!$B$8,""))</f>
        <v/>
      </c>
      <c r="C324" s="8"/>
      <c r="E324" s="7" t="s">
        <v>25</v>
      </c>
      <c r="F324" s="8" t="s">
        <v>25</v>
      </c>
      <c r="I324" s="7" t="str">
        <f>IF(I323&lt;'Characteristics&amp;Parameters'!$B$17,ConcentrationsCalculations!I323+1,IF(I323="DS Node","",IF(I323="","","DS Node")))</f>
        <v/>
      </c>
      <c r="J324" s="13" t="str">
        <f>IF(I324="DS Node",'Characteristics&amp;Parameters'!$B$8,IF(I324&lt;='Characteristics&amp;Parameters'!$B$17,((1-'Characteristics&amp;Parameters'!$B$19)*ConcentrationsCalculations!F324+'Characteristics&amp;Parameters'!$B$19*ConcentrationsCalculations!F323-F324/86400*'Characteristics&amp;Parameters'!$B$11*'Characteristics&amp;Parameters'!$B$12),""))</f>
        <v/>
      </c>
    </row>
    <row r="325" spans="1:10" x14ac:dyDescent="0.5">
      <c r="A325" s="7" t="str">
        <f>IF(A324&lt;'Characteristics&amp;Parameters'!$B$17,ConcentrationsCalculations!A324+1,IF(A324="DS Node","",IF(A324="","","DS Node")))</f>
        <v/>
      </c>
      <c r="B325" s="8" t="str">
        <f>IF(A325&lt;='Characteristics&amp;Parameters'!$B$17,'Characteristics&amp;Parameters'!$B$7,IF(ConcentrationsCalculations!A325="DS Node",'Characteristics&amp;Parameters'!$B$8,""))</f>
        <v/>
      </c>
      <c r="C325" s="8"/>
      <c r="E325" s="7" t="s">
        <v>25</v>
      </c>
      <c r="F325" s="8" t="s">
        <v>25</v>
      </c>
      <c r="I325" s="7" t="str">
        <f>IF(I324&lt;'Characteristics&amp;Parameters'!$B$17,ConcentrationsCalculations!I324+1,IF(I324="DS Node","",IF(I324="","","DS Node")))</f>
        <v/>
      </c>
      <c r="J325" s="13" t="str">
        <f>IF(I325="DS Node",'Characteristics&amp;Parameters'!$B$8,IF(I325&lt;='Characteristics&amp;Parameters'!$B$17,((1-'Characteristics&amp;Parameters'!$B$19)*ConcentrationsCalculations!F325+'Characteristics&amp;Parameters'!$B$19*ConcentrationsCalculations!F324-F325/86400*'Characteristics&amp;Parameters'!$B$11*'Characteristics&amp;Parameters'!$B$12),""))</f>
        <v/>
      </c>
    </row>
    <row r="326" spans="1:10" x14ac:dyDescent="0.5">
      <c r="A326" s="7" t="str">
        <f>IF(A325&lt;'Characteristics&amp;Parameters'!$B$17,ConcentrationsCalculations!A325+1,IF(A325="DS Node","",IF(A325="","","DS Node")))</f>
        <v/>
      </c>
      <c r="B326" s="8" t="str">
        <f>IF(A326&lt;='Characteristics&amp;Parameters'!$B$17,'Characteristics&amp;Parameters'!$B$7,IF(ConcentrationsCalculations!A326="DS Node",'Characteristics&amp;Parameters'!$B$8,""))</f>
        <v/>
      </c>
      <c r="C326" s="8"/>
      <c r="E326" s="7" t="s">
        <v>25</v>
      </c>
      <c r="F326" s="8" t="s">
        <v>25</v>
      </c>
      <c r="I326" s="7" t="str">
        <f>IF(I325&lt;'Characteristics&amp;Parameters'!$B$17,ConcentrationsCalculations!I325+1,IF(I325="DS Node","",IF(I325="","","DS Node")))</f>
        <v/>
      </c>
      <c r="J326" s="13" t="str">
        <f>IF(I326="DS Node",'Characteristics&amp;Parameters'!$B$8,IF(I326&lt;='Characteristics&amp;Parameters'!$B$17,((1-'Characteristics&amp;Parameters'!$B$19)*ConcentrationsCalculations!F326+'Characteristics&amp;Parameters'!$B$19*ConcentrationsCalculations!F325-F326/86400*'Characteristics&amp;Parameters'!$B$11*'Characteristics&amp;Parameters'!$B$12),""))</f>
        <v/>
      </c>
    </row>
    <row r="327" spans="1:10" x14ac:dyDescent="0.5">
      <c r="A327" s="7" t="str">
        <f>IF(A326&lt;'Characteristics&amp;Parameters'!$B$17,ConcentrationsCalculations!A326+1,IF(A326="DS Node","",IF(A326="","","DS Node")))</f>
        <v/>
      </c>
      <c r="B327" s="8" t="str">
        <f>IF(A327&lt;='Characteristics&amp;Parameters'!$B$17,'Characteristics&amp;Parameters'!$B$7,IF(ConcentrationsCalculations!A327="DS Node",'Characteristics&amp;Parameters'!$B$8,""))</f>
        <v/>
      </c>
      <c r="C327" s="8"/>
      <c r="E327" s="7" t="s">
        <v>25</v>
      </c>
      <c r="F327" s="8" t="s">
        <v>25</v>
      </c>
      <c r="I327" s="7" t="str">
        <f>IF(I326&lt;'Characteristics&amp;Parameters'!$B$17,ConcentrationsCalculations!I326+1,IF(I326="DS Node","",IF(I326="","","DS Node")))</f>
        <v/>
      </c>
      <c r="J327" s="13" t="str">
        <f>IF(I327="DS Node",'Characteristics&amp;Parameters'!$B$8,IF(I327&lt;='Characteristics&amp;Parameters'!$B$17,((1-'Characteristics&amp;Parameters'!$B$19)*ConcentrationsCalculations!F327+'Characteristics&amp;Parameters'!$B$19*ConcentrationsCalculations!F326-F327/86400*'Characteristics&amp;Parameters'!$B$11*'Characteristics&amp;Parameters'!$B$12),""))</f>
        <v/>
      </c>
    </row>
    <row r="328" spans="1:10" x14ac:dyDescent="0.5">
      <c r="A328" s="7" t="str">
        <f>IF(A327&lt;'Characteristics&amp;Parameters'!$B$17,ConcentrationsCalculations!A327+1,IF(A327="DS Node","",IF(A327="","","DS Node")))</f>
        <v/>
      </c>
      <c r="B328" s="8" t="str">
        <f>IF(A328&lt;='Characteristics&amp;Parameters'!$B$17,'Characteristics&amp;Parameters'!$B$7,IF(ConcentrationsCalculations!A328="DS Node",'Characteristics&amp;Parameters'!$B$8,""))</f>
        <v/>
      </c>
      <c r="C328" s="8"/>
      <c r="E328" s="7" t="s">
        <v>25</v>
      </c>
      <c r="F328" s="8" t="s">
        <v>25</v>
      </c>
      <c r="I328" s="7" t="str">
        <f>IF(I327&lt;'Characteristics&amp;Parameters'!$B$17,ConcentrationsCalculations!I327+1,IF(I327="DS Node","",IF(I327="","","DS Node")))</f>
        <v/>
      </c>
      <c r="J328" s="13" t="str">
        <f>IF(I328="DS Node",'Characteristics&amp;Parameters'!$B$8,IF(I328&lt;='Characteristics&amp;Parameters'!$B$17,((1-'Characteristics&amp;Parameters'!$B$19)*ConcentrationsCalculations!F328+'Characteristics&amp;Parameters'!$B$19*ConcentrationsCalculations!F327-F328/86400*'Characteristics&amp;Parameters'!$B$11*'Characteristics&amp;Parameters'!$B$12),""))</f>
        <v/>
      </c>
    </row>
    <row r="329" spans="1:10" x14ac:dyDescent="0.5">
      <c r="A329" s="7" t="str">
        <f>IF(A328&lt;'Characteristics&amp;Parameters'!$B$17,ConcentrationsCalculations!A328+1,IF(A328="DS Node","",IF(A328="","","DS Node")))</f>
        <v/>
      </c>
      <c r="B329" s="8" t="str">
        <f>IF(A329&lt;='Characteristics&amp;Parameters'!$B$17,'Characteristics&amp;Parameters'!$B$7,IF(ConcentrationsCalculations!A329="DS Node",'Characteristics&amp;Parameters'!$B$8,""))</f>
        <v/>
      </c>
      <c r="C329" s="8"/>
      <c r="E329" s="7" t="s">
        <v>25</v>
      </c>
      <c r="F329" s="8" t="s">
        <v>25</v>
      </c>
      <c r="I329" s="7" t="str">
        <f>IF(I328&lt;'Characteristics&amp;Parameters'!$B$17,ConcentrationsCalculations!I328+1,IF(I328="DS Node","",IF(I328="","","DS Node")))</f>
        <v/>
      </c>
      <c r="J329" s="13" t="str">
        <f>IF(I329="DS Node",'Characteristics&amp;Parameters'!$B$8,IF(I329&lt;='Characteristics&amp;Parameters'!$B$17,((1-'Characteristics&amp;Parameters'!$B$19)*ConcentrationsCalculations!F329+'Characteristics&amp;Parameters'!$B$19*ConcentrationsCalculations!F328-F329/86400*'Characteristics&amp;Parameters'!$B$11*'Characteristics&amp;Parameters'!$B$12),""))</f>
        <v/>
      </c>
    </row>
    <row r="330" spans="1:10" x14ac:dyDescent="0.5">
      <c r="A330" s="7" t="str">
        <f>IF(A329&lt;'Characteristics&amp;Parameters'!$B$17,ConcentrationsCalculations!A329+1,IF(A329="DS Node","",IF(A329="","","DS Node")))</f>
        <v/>
      </c>
      <c r="B330" s="8" t="str">
        <f>IF(A330&lt;='Characteristics&amp;Parameters'!$B$17,'Characteristics&amp;Parameters'!$B$7,IF(ConcentrationsCalculations!A330="DS Node",'Characteristics&amp;Parameters'!$B$8,""))</f>
        <v/>
      </c>
      <c r="C330" s="8"/>
      <c r="E330" s="7" t="s">
        <v>25</v>
      </c>
      <c r="F330" s="8" t="s">
        <v>25</v>
      </c>
      <c r="I330" s="7" t="str">
        <f>IF(I329&lt;'Characteristics&amp;Parameters'!$B$17,ConcentrationsCalculations!I329+1,IF(I329="DS Node","",IF(I329="","","DS Node")))</f>
        <v/>
      </c>
      <c r="J330" s="13" t="str">
        <f>IF(I330="DS Node",'Characteristics&amp;Parameters'!$B$8,IF(I330&lt;='Characteristics&amp;Parameters'!$B$17,((1-'Characteristics&amp;Parameters'!$B$19)*ConcentrationsCalculations!F330+'Characteristics&amp;Parameters'!$B$19*ConcentrationsCalculations!F329-F330/86400*'Characteristics&amp;Parameters'!$B$11*'Characteristics&amp;Parameters'!$B$12),""))</f>
        <v/>
      </c>
    </row>
    <row r="331" spans="1:10" x14ac:dyDescent="0.5">
      <c r="A331" s="7" t="str">
        <f>IF(A330&lt;'Characteristics&amp;Parameters'!$B$17,ConcentrationsCalculations!A330+1,IF(A330="DS Node","",IF(A330="","","DS Node")))</f>
        <v/>
      </c>
      <c r="B331" s="8" t="str">
        <f>IF(A331&lt;='Characteristics&amp;Parameters'!$B$17,'Characteristics&amp;Parameters'!$B$7,IF(ConcentrationsCalculations!A331="DS Node",'Characteristics&amp;Parameters'!$B$8,""))</f>
        <v/>
      </c>
      <c r="C331" s="8"/>
      <c r="E331" s="7" t="s">
        <v>25</v>
      </c>
      <c r="F331" s="8" t="s">
        <v>25</v>
      </c>
      <c r="I331" s="7" t="str">
        <f>IF(I330&lt;'Characteristics&amp;Parameters'!$B$17,ConcentrationsCalculations!I330+1,IF(I330="DS Node","",IF(I330="","","DS Node")))</f>
        <v/>
      </c>
      <c r="J331" s="13" t="str">
        <f>IF(I331="DS Node",'Characteristics&amp;Parameters'!$B$8,IF(I331&lt;='Characteristics&amp;Parameters'!$B$17,((1-'Characteristics&amp;Parameters'!$B$19)*ConcentrationsCalculations!F331+'Characteristics&amp;Parameters'!$B$19*ConcentrationsCalculations!F330-F331/86400*'Characteristics&amp;Parameters'!$B$11*'Characteristics&amp;Parameters'!$B$12),""))</f>
        <v/>
      </c>
    </row>
    <row r="332" spans="1:10" x14ac:dyDescent="0.5">
      <c r="A332" s="7" t="str">
        <f>IF(A331&lt;'Characteristics&amp;Parameters'!$B$17,ConcentrationsCalculations!A331+1,IF(A331="DS Node","",IF(A331="","","DS Node")))</f>
        <v/>
      </c>
      <c r="B332" s="8" t="str">
        <f>IF(A332&lt;='Characteristics&amp;Parameters'!$B$17,'Characteristics&amp;Parameters'!$B$7,IF(ConcentrationsCalculations!A332="DS Node",'Characteristics&amp;Parameters'!$B$8,""))</f>
        <v/>
      </c>
      <c r="C332" s="8"/>
      <c r="E332" s="7" t="s">
        <v>25</v>
      </c>
      <c r="F332" s="8" t="s">
        <v>25</v>
      </c>
      <c r="I332" s="7" t="str">
        <f>IF(I331&lt;'Characteristics&amp;Parameters'!$B$17,ConcentrationsCalculations!I331+1,IF(I331="DS Node","",IF(I331="","","DS Node")))</f>
        <v/>
      </c>
      <c r="J332" s="13" t="str">
        <f>IF(I332="DS Node",'Characteristics&amp;Parameters'!$B$8,IF(I332&lt;='Characteristics&amp;Parameters'!$B$17,((1-'Characteristics&amp;Parameters'!$B$19)*ConcentrationsCalculations!F332+'Characteristics&amp;Parameters'!$B$19*ConcentrationsCalculations!F331-F332/86400*'Characteristics&amp;Parameters'!$B$11*'Characteristics&amp;Parameters'!$B$12),""))</f>
        <v/>
      </c>
    </row>
    <row r="333" spans="1:10" x14ac:dyDescent="0.5">
      <c r="A333" s="7" t="str">
        <f>IF(A332&lt;'Characteristics&amp;Parameters'!$B$17,ConcentrationsCalculations!A332+1,IF(A332="DS Node","",IF(A332="","","DS Node")))</f>
        <v/>
      </c>
      <c r="B333" s="8" t="str">
        <f>IF(A333&lt;='Characteristics&amp;Parameters'!$B$17,'Characteristics&amp;Parameters'!$B$7,IF(ConcentrationsCalculations!A333="DS Node",'Characteristics&amp;Parameters'!$B$8,""))</f>
        <v/>
      </c>
      <c r="C333" s="8"/>
      <c r="E333" s="7" t="s">
        <v>25</v>
      </c>
      <c r="F333" s="8" t="s">
        <v>25</v>
      </c>
      <c r="I333" s="7" t="str">
        <f>IF(I332&lt;'Characteristics&amp;Parameters'!$B$17,ConcentrationsCalculations!I332+1,IF(I332="DS Node","",IF(I332="","","DS Node")))</f>
        <v/>
      </c>
      <c r="J333" s="13" t="str">
        <f>IF(I333="DS Node",'Characteristics&amp;Parameters'!$B$8,IF(I333&lt;='Characteristics&amp;Parameters'!$B$17,((1-'Characteristics&amp;Parameters'!$B$19)*ConcentrationsCalculations!F333+'Characteristics&amp;Parameters'!$B$19*ConcentrationsCalculations!F332-F333/86400*'Characteristics&amp;Parameters'!$B$11*'Characteristics&amp;Parameters'!$B$12),""))</f>
        <v/>
      </c>
    </row>
    <row r="334" spans="1:10" x14ac:dyDescent="0.5">
      <c r="A334" s="7" t="str">
        <f>IF(A333&lt;'Characteristics&amp;Parameters'!$B$17,ConcentrationsCalculations!A333+1,IF(A333="DS Node","",IF(A333="","","DS Node")))</f>
        <v/>
      </c>
      <c r="B334" s="8" t="str">
        <f>IF(A334&lt;='Characteristics&amp;Parameters'!$B$17,'Characteristics&amp;Parameters'!$B$7,IF(ConcentrationsCalculations!A334="DS Node",'Characteristics&amp;Parameters'!$B$8,""))</f>
        <v/>
      </c>
      <c r="C334" s="8"/>
      <c r="E334" s="7" t="s">
        <v>25</v>
      </c>
      <c r="F334" s="8" t="s">
        <v>25</v>
      </c>
      <c r="I334" s="7" t="str">
        <f>IF(I333&lt;'Characteristics&amp;Parameters'!$B$17,ConcentrationsCalculations!I333+1,IF(I333="DS Node","",IF(I333="","","DS Node")))</f>
        <v/>
      </c>
      <c r="J334" s="13" t="str">
        <f>IF(I334="DS Node",'Characteristics&amp;Parameters'!$B$8,IF(I334&lt;='Characteristics&amp;Parameters'!$B$17,((1-'Characteristics&amp;Parameters'!$B$19)*ConcentrationsCalculations!F334+'Characteristics&amp;Parameters'!$B$19*ConcentrationsCalculations!F333-F334/86400*'Characteristics&amp;Parameters'!$B$11*'Characteristics&amp;Parameters'!$B$12),""))</f>
        <v/>
      </c>
    </row>
    <row r="335" spans="1:10" x14ac:dyDescent="0.5">
      <c r="A335" s="7" t="str">
        <f>IF(A334&lt;'Characteristics&amp;Parameters'!$B$17,ConcentrationsCalculations!A334+1,IF(A334="DS Node","",IF(A334="","","DS Node")))</f>
        <v/>
      </c>
      <c r="B335" s="8" t="str">
        <f>IF(A335&lt;='Characteristics&amp;Parameters'!$B$17,'Characteristics&amp;Parameters'!$B$7,IF(ConcentrationsCalculations!A335="DS Node",'Characteristics&amp;Parameters'!$B$8,""))</f>
        <v/>
      </c>
      <c r="C335" s="8"/>
      <c r="E335" s="7" t="s">
        <v>25</v>
      </c>
      <c r="F335" s="8" t="s">
        <v>25</v>
      </c>
      <c r="I335" s="7" t="str">
        <f>IF(I334&lt;'Characteristics&amp;Parameters'!$B$17,ConcentrationsCalculations!I334+1,IF(I334="DS Node","",IF(I334="","","DS Node")))</f>
        <v/>
      </c>
      <c r="J335" s="13" t="str">
        <f>IF(I335="DS Node",'Characteristics&amp;Parameters'!$B$8,IF(I335&lt;='Characteristics&amp;Parameters'!$B$17,((1-'Characteristics&amp;Parameters'!$B$19)*ConcentrationsCalculations!F335+'Characteristics&amp;Parameters'!$B$19*ConcentrationsCalculations!F334-F335/86400*'Characteristics&amp;Parameters'!$B$11*'Characteristics&amp;Parameters'!$B$12),""))</f>
        <v/>
      </c>
    </row>
    <row r="336" spans="1:10" x14ac:dyDescent="0.5">
      <c r="A336" s="7" t="str">
        <f>IF(A335&lt;'Characteristics&amp;Parameters'!$B$17,ConcentrationsCalculations!A335+1,IF(A335="DS Node","",IF(A335="","","DS Node")))</f>
        <v/>
      </c>
      <c r="B336" s="8" t="str">
        <f>IF(A336&lt;='Characteristics&amp;Parameters'!$B$17,'Characteristics&amp;Parameters'!$B$7,IF(ConcentrationsCalculations!A336="DS Node",'Characteristics&amp;Parameters'!$B$8,""))</f>
        <v/>
      </c>
      <c r="C336" s="8"/>
      <c r="E336" s="7" t="s">
        <v>25</v>
      </c>
      <c r="F336" s="8" t="s">
        <v>25</v>
      </c>
      <c r="I336" s="7" t="str">
        <f>IF(I335&lt;'Characteristics&amp;Parameters'!$B$17,ConcentrationsCalculations!I335+1,IF(I335="DS Node","",IF(I335="","","DS Node")))</f>
        <v/>
      </c>
      <c r="J336" s="13" t="str">
        <f>IF(I336="DS Node",'Characteristics&amp;Parameters'!$B$8,IF(I336&lt;='Characteristics&amp;Parameters'!$B$17,((1-'Characteristics&amp;Parameters'!$B$19)*ConcentrationsCalculations!F336+'Characteristics&amp;Parameters'!$B$19*ConcentrationsCalculations!F335-F336/86400*'Characteristics&amp;Parameters'!$B$11*'Characteristics&amp;Parameters'!$B$12),""))</f>
        <v/>
      </c>
    </row>
    <row r="337" spans="1:10" x14ac:dyDescent="0.5">
      <c r="A337" s="7" t="str">
        <f>IF(A336&lt;'Characteristics&amp;Parameters'!$B$17,ConcentrationsCalculations!A336+1,IF(A336="DS Node","",IF(A336="","","DS Node")))</f>
        <v/>
      </c>
      <c r="B337" s="8" t="str">
        <f>IF(A337&lt;='Characteristics&amp;Parameters'!$B$17,'Characteristics&amp;Parameters'!$B$7,IF(ConcentrationsCalculations!A337="DS Node",'Characteristics&amp;Parameters'!$B$8,""))</f>
        <v/>
      </c>
      <c r="C337" s="8"/>
      <c r="E337" s="7" t="s">
        <v>25</v>
      </c>
      <c r="F337" s="8" t="s">
        <v>25</v>
      </c>
      <c r="I337" s="7" t="str">
        <f>IF(I336&lt;'Characteristics&amp;Parameters'!$B$17,ConcentrationsCalculations!I336+1,IF(I336="DS Node","",IF(I336="","","DS Node")))</f>
        <v/>
      </c>
      <c r="J337" s="13" t="str">
        <f>IF(I337="DS Node",'Characteristics&amp;Parameters'!$B$8,IF(I337&lt;='Characteristics&amp;Parameters'!$B$17,((1-'Characteristics&amp;Parameters'!$B$19)*ConcentrationsCalculations!F337+'Characteristics&amp;Parameters'!$B$19*ConcentrationsCalculations!F336-F337/86400*'Characteristics&amp;Parameters'!$B$11*'Characteristics&amp;Parameters'!$B$12),""))</f>
        <v/>
      </c>
    </row>
    <row r="338" spans="1:10" x14ac:dyDescent="0.5">
      <c r="A338" s="7" t="str">
        <f>IF(A337&lt;'Characteristics&amp;Parameters'!$B$17,ConcentrationsCalculations!A337+1,IF(A337="DS Node","",IF(A337="","","DS Node")))</f>
        <v/>
      </c>
      <c r="B338" s="8" t="str">
        <f>IF(A338&lt;='Characteristics&amp;Parameters'!$B$17,'Characteristics&amp;Parameters'!$B$7,IF(ConcentrationsCalculations!A338="DS Node",'Characteristics&amp;Parameters'!$B$8,""))</f>
        <v/>
      </c>
      <c r="C338" s="8"/>
      <c r="E338" s="7" t="s">
        <v>25</v>
      </c>
      <c r="F338" s="8" t="s">
        <v>25</v>
      </c>
      <c r="I338" s="7" t="str">
        <f>IF(I337&lt;'Characteristics&amp;Parameters'!$B$17,ConcentrationsCalculations!I337+1,IF(I337="DS Node","",IF(I337="","","DS Node")))</f>
        <v/>
      </c>
      <c r="J338" s="13" t="str">
        <f>IF(I338="DS Node",'Characteristics&amp;Parameters'!$B$8,IF(I338&lt;='Characteristics&amp;Parameters'!$B$17,((1-'Characteristics&amp;Parameters'!$B$19)*ConcentrationsCalculations!F338+'Characteristics&amp;Parameters'!$B$19*ConcentrationsCalculations!F337-F338/86400*'Characteristics&amp;Parameters'!$B$11*'Characteristics&amp;Parameters'!$B$12),""))</f>
        <v/>
      </c>
    </row>
    <row r="339" spans="1:10" x14ac:dyDescent="0.5">
      <c r="A339" s="7" t="str">
        <f>IF(A338&lt;'Characteristics&amp;Parameters'!$B$17,ConcentrationsCalculations!A338+1,IF(A338="DS Node","",IF(A338="","","DS Node")))</f>
        <v/>
      </c>
      <c r="B339" s="8" t="str">
        <f>IF(A339&lt;='Characteristics&amp;Parameters'!$B$17,'Characteristics&amp;Parameters'!$B$7,IF(ConcentrationsCalculations!A339="DS Node",'Characteristics&amp;Parameters'!$B$8,""))</f>
        <v/>
      </c>
      <c r="C339" s="8"/>
      <c r="E339" s="7" t="s">
        <v>25</v>
      </c>
      <c r="F339" s="8" t="s">
        <v>25</v>
      </c>
      <c r="I339" s="7" t="str">
        <f>IF(I338&lt;'Characteristics&amp;Parameters'!$B$17,ConcentrationsCalculations!I338+1,IF(I338="DS Node","",IF(I338="","","DS Node")))</f>
        <v/>
      </c>
      <c r="J339" s="13" t="str">
        <f>IF(I339="DS Node",'Characteristics&amp;Parameters'!$B$8,IF(I339&lt;='Characteristics&amp;Parameters'!$B$17,((1-'Characteristics&amp;Parameters'!$B$19)*ConcentrationsCalculations!F339+'Characteristics&amp;Parameters'!$B$19*ConcentrationsCalculations!F338-F339/86400*'Characteristics&amp;Parameters'!$B$11*'Characteristics&amp;Parameters'!$B$12),""))</f>
        <v/>
      </c>
    </row>
    <row r="340" spans="1:10" x14ac:dyDescent="0.5">
      <c r="A340" s="7" t="str">
        <f>IF(A339&lt;'Characteristics&amp;Parameters'!$B$17,ConcentrationsCalculations!A339+1,IF(A339="DS Node","",IF(A339="","","DS Node")))</f>
        <v/>
      </c>
      <c r="B340" s="8" t="str">
        <f>IF(A340&lt;='Characteristics&amp;Parameters'!$B$17,'Characteristics&amp;Parameters'!$B$7,IF(ConcentrationsCalculations!A340="DS Node",'Characteristics&amp;Parameters'!$B$8,""))</f>
        <v/>
      </c>
      <c r="C340" s="8"/>
      <c r="E340" s="7" t="s">
        <v>25</v>
      </c>
      <c r="F340" s="8" t="s">
        <v>25</v>
      </c>
      <c r="I340" s="7" t="str">
        <f>IF(I339&lt;'Characteristics&amp;Parameters'!$B$17,ConcentrationsCalculations!I339+1,IF(I339="DS Node","",IF(I339="","","DS Node")))</f>
        <v/>
      </c>
      <c r="J340" s="13" t="str">
        <f>IF(I340="DS Node",'Characteristics&amp;Parameters'!$B$8,IF(I340&lt;='Characteristics&amp;Parameters'!$B$17,((1-'Characteristics&amp;Parameters'!$B$19)*ConcentrationsCalculations!F340+'Characteristics&amp;Parameters'!$B$19*ConcentrationsCalculations!F339-F340/86400*'Characteristics&amp;Parameters'!$B$11*'Characteristics&amp;Parameters'!$B$12),""))</f>
        <v/>
      </c>
    </row>
    <row r="341" spans="1:10" x14ac:dyDescent="0.5">
      <c r="A341" s="7" t="str">
        <f>IF(A340&lt;'Characteristics&amp;Parameters'!$B$17,ConcentrationsCalculations!A340+1,IF(A340="DS Node","",IF(A340="","","DS Node")))</f>
        <v/>
      </c>
      <c r="B341" s="8" t="str">
        <f>IF(A341&lt;='Characteristics&amp;Parameters'!$B$17,'Characteristics&amp;Parameters'!$B$7,IF(ConcentrationsCalculations!A341="DS Node",'Characteristics&amp;Parameters'!$B$8,""))</f>
        <v/>
      </c>
      <c r="C341" s="8"/>
      <c r="E341" s="7" t="s">
        <v>25</v>
      </c>
      <c r="F341" s="8" t="s">
        <v>25</v>
      </c>
      <c r="I341" s="7" t="str">
        <f>IF(I340&lt;'Characteristics&amp;Parameters'!$B$17,ConcentrationsCalculations!I340+1,IF(I340="DS Node","",IF(I340="","","DS Node")))</f>
        <v/>
      </c>
      <c r="J341" s="13" t="str">
        <f>IF(I341="DS Node",'Characteristics&amp;Parameters'!$B$8,IF(I341&lt;='Characteristics&amp;Parameters'!$B$17,((1-'Characteristics&amp;Parameters'!$B$19)*ConcentrationsCalculations!F341+'Characteristics&amp;Parameters'!$B$19*ConcentrationsCalculations!F340-F341/86400*'Characteristics&amp;Parameters'!$B$11*'Characteristics&amp;Parameters'!$B$12),""))</f>
        <v/>
      </c>
    </row>
    <row r="342" spans="1:10" x14ac:dyDescent="0.5">
      <c r="A342" s="7" t="str">
        <f>IF(A341&lt;'Characteristics&amp;Parameters'!$B$17,ConcentrationsCalculations!A341+1,IF(A341="DS Node","",IF(A341="","","DS Node")))</f>
        <v/>
      </c>
      <c r="B342" s="8" t="str">
        <f>IF(A342&lt;='Characteristics&amp;Parameters'!$B$17,'Characteristics&amp;Parameters'!$B$7,IF(ConcentrationsCalculations!A342="DS Node",'Characteristics&amp;Parameters'!$B$8,""))</f>
        <v/>
      </c>
      <c r="C342" s="8"/>
      <c r="E342" s="7" t="s">
        <v>25</v>
      </c>
      <c r="F342" s="8" t="s">
        <v>25</v>
      </c>
      <c r="I342" s="7" t="str">
        <f>IF(I341&lt;'Characteristics&amp;Parameters'!$B$17,ConcentrationsCalculations!I341+1,IF(I341="DS Node","",IF(I341="","","DS Node")))</f>
        <v/>
      </c>
      <c r="J342" s="13" t="str">
        <f>IF(I342="DS Node",'Characteristics&amp;Parameters'!$B$8,IF(I342&lt;='Characteristics&amp;Parameters'!$B$17,((1-'Characteristics&amp;Parameters'!$B$19)*ConcentrationsCalculations!F342+'Characteristics&amp;Parameters'!$B$19*ConcentrationsCalculations!F341-F342/86400*'Characteristics&amp;Parameters'!$B$11*'Characteristics&amp;Parameters'!$B$12),""))</f>
        <v/>
      </c>
    </row>
    <row r="343" spans="1:10" x14ac:dyDescent="0.5">
      <c r="A343" s="7" t="str">
        <f>IF(A342&lt;'Characteristics&amp;Parameters'!$B$17,ConcentrationsCalculations!A342+1,IF(A342="DS Node","",IF(A342="","","DS Node")))</f>
        <v/>
      </c>
      <c r="B343" s="8" t="str">
        <f>IF(A343&lt;='Characteristics&amp;Parameters'!$B$17,'Characteristics&amp;Parameters'!$B$7,IF(ConcentrationsCalculations!A343="DS Node",'Characteristics&amp;Parameters'!$B$8,""))</f>
        <v/>
      </c>
      <c r="C343" s="8"/>
      <c r="E343" s="7" t="s">
        <v>25</v>
      </c>
      <c r="F343" s="8" t="s">
        <v>25</v>
      </c>
      <c r="I343" s="7" t="str">
        <f>IF(I342&lt;'Characteristics&amp;Parameters'!$B$17,ConcentrationsCalculations!I342+1,IF(I342="DS Node","",IF(I342="","","DS Node")))</f>
        <v/>
      </c>
      <c r="J343" s="13" t="str">
        <f>IF(I343="DS Node",'Characteristics&amp;Parameters'!$B$8,IF(I343&lt;='Characteristics&amp;Parameters'!$B$17,((1-'Characteristics&amp;Parameters'!$B$19)*ConcentrationsCalculations!F343+'Characteristics&amp;Parameters'!$B$19*ConcentrationsCalculations!F342-F343/86400*'Characteristics&amp;Parameters'!$B$11*'Characteristics&amp;Parameters'!$B$12),""))</f>
        <v/>
      </c>
    </row>
    <row r="344" spans="1:10" x14ac:dyDescent="0.5">
      <c r="A344" s="7" t="str">
        <f>IF(A343&lt;'Characteristics&amp;Parameters'!$B$17,ConcentrationsCalculations!A343+1,IF(A343="DS Node","",IF(A343="","","DS Node")))</f>
        <v/>
      </c>
      <c r="B344" s="8" t="str">
        <f>IF(A344&lt;='Characteristics&amp;Parameters'!$B$17,'Characteristics&amp;Parameters'!$B$7,IF(ConcentrationsCalculations!A344="DS Node",'Characteristics&amp;Parameters'!$B$8,""))</f>
        <v/>
      </c>
      <c r="C344" s="8"/>
      <c r="E344" s="7" t="s">
        <v>25</v>
      </c>
      <c r="F344" s="8" t="s">
        <v>25</v>
      </c>
      <c r="I344" s="7" t="str">
        <f>IF(I343&lt;'Characteristics&amp;Parameters'!$B$17,ConcentrationsCalculations!I343+1,IF(I343="DS Node","",IF(I343="","","DS Node")))</f>
        <v/>
      </c>
      <c r="J344" s="13" t="str">
        <f>IF(I344="DS Node",'Characteristics&amp;Parameters'!$B$8,IF(I344&lt;='Characteristics&amp;Parameters'!$B$17,((1-'Characteristics&amp;Parameters'!$B$19)*ConcentrationsCalculations!F344+'Characteristics&amp;Parameters'!$B$19*ConcentrationsCalculations!F343-F344/86400*'Characteristics&amp;Parameters'!$B$11*'Characteristics&amp;Parameters'!$B$12),""))</f>
        <v/>
      </c>
    </row>
    <row r="345" spans="1:10" x14ac:dyDescent="0.5">
      <c r="A345" s="7" t="str">
        <f>IF(A344&lt;'Characteristics&amp;Parameters'!$B$17,ConcentrationsCalculations!A344+1,IF(A344="DS Node","",IF(A344="","","DS Node")))</f>
        <v/>
      </c>
      <c r="B345" s="8" t="str">
        <f>IF(A345&lt;='Characteristics&amp;Parameters'!$B$17,'Characteristics&amp;Parameters'!$B$7,IF(ConcentrationsCalculations!A345="DS Node",'Characteristics&amp;Parameters'!$B$8,""))</f>
        <v/>
      </c>
      <c r="C345" s="8"/>
      <c r="E345" s="7" t="s">
        <v>25</v>
      </c>
      <c r="F345" s="8" t="s">
        <v>25</v>
      </c>
      <c r="I345" s="7" t="str">
        <f>IF(I344&lt;'Characteristics&amp;Parameters'!$B$17,ConcentrationsCalculations!I344+1,IF(I344="DS Node","",IF(I344="","","DS Node")))</f>
        <v/>
      </c>
      <c r="J345" s="13" t="str">
        <f>IF(I345="DS Node",'Characteristics&amp;Parameters'!$B$8,IF(I345&lt;='Characteristics&amp;Parameters'!$B$17,((1-'Characteristics&amp;Parameters'!$B$19)*ConcentrationsCalculations!F345+'Characteristics&amp;Parameters'!$B$19*ConcentrationsCalculations!F344-F345/86400*'Characteristics&amp;Parameters'!$B$11*'Characteristics&amp;Parameters'!$B$12),""))</f>
        <v/>
      </c>
    </row>
    <row r="346" spans="1:10" x14ac:dyDescent="0.5">
      <c r="A346" s="7" t="str">
        <f>IF(A345&lt;'Characteristics&amp;Parameters'!$B$17,ConcentrationsCalculations!A345+1,IF(A345="DS Node","",IF(A345="","","DS Node")))</f>
        <v/>
      </c>
      <c r="B346" s="8" t="str">
        <f>IF(A346&lt;='Characteristics&amp;Parameters'!$B$17,'Characteristics&amp;Parameters'!$B$7,IF(ConcentrationsCalculations!A346="DS Node",'Characteristics&amp;Parameters'!$B$8,""))</f>
        <v/>
      </c>
      <c r="C346" s="8"/>
      <c r="E346" s="7" t="s">
        <v>25</v>
      </c>
      <c r="F346" s="8" t="s">
        <v>25</v>
      </c>
      <c r="I346" s="7" t="str">
        <f>IF(I345&lt;'Characteristics&amp;Parameters'!$B$17,ConcentrationsCalculations!I345+1,IF(I345="DS Node","",IF(I345="","","DS Node")))</f>
        <v/>
      </c>
      <c r="J346" s="13" t="str">
        <f>IF(I346="DS Node",'Characteristics&amp;Parameters'!$B$8,IF(I346&lt;='Characteristics&amp;Parameters'!$B$17,((1-'Characteristics&amp;Parameters'!$B$19)*ConcentrationsCalculations!F346+'Characteristics&amp;Parameters'!$B$19*ConcentrationsCalculations!F345-F346/86400*'Characteristics&amp;Parameters'!$B$11*'Characteristics&amp;Parameters'!$B$12),""))</f>
        <v/>
      </c>
    </row>
    <row r="347" spans="1:10" x14ac:dyDescent="0.5">
      <c r="A347" s="7" t="str">
        <f>IF(A346&lt;'Characteristics&amp;Parameters'!$B$17,ConcentrationsCalculations!A346+1,IF(A346="DS Node","",IF(A346="","","DS Node")))</f>
        <v/>
      </c>
      <c r="B347" s="8" t="str">
        <f>IF(A347&lt;='Characteristics&amp;Parameters'!$B$17,'Characteristics&amp;Parameters'!$B$7,IF(ConcentrationsCalculations!A347="DS Node",'Characteristics&amp;Parameters'!$B$8,""))</f>
        <v/>
      </c>
      <c r="C347" s="8"/>
      <c r="E347" s="7" t="s">
        <v>25</v>
      </c>
      <c r="F347" s="8" t="s">
        <v>25</v>
      </c>
      <c r="I347" s="7" t="str">
        <f>IF(I346&lt;'Characteristics&amp;Parameters'!$B$17,ConcentrationsCalculations!I346+1,IF(I346="DS Node","",IF(I346="","","DS Node")))</f>
        <v/>
      </c>
      <c r="J347" s="13" t="str">
        <f>IF(I347="DS Node",'Characteristics&amp;Parameters'!$B$8,IF(I347&lt;='Characteristics&amp;Parameters'!$B$17,((1-'Characteristics&amp;Parameters'!$B$19)*ConcentrationsCalculations!F347+'Characteristics&amp;Parameters'!$B$19*ConcentrationsCalculations!F346-F347/86400*'Characteristics&amp;Parameters'!$B$11*'Characteristics&amp;Parameters'!$B$12),""))</f>
        <v/>
      </c>
    </row>
    <row r="348" spans="1:10" x14ac:dyDescent="0.5">
      <c r="A348" s="7" t="str">
        <f>IF(A347&lt;'Characteristics&amp;Parameters'!$B$17,ConcentrationsCalculations!A347+1,IF(A347="DS Node","",IF(A347="","","DS Node")))</f>
        <v/>
      </c>
      <c r="B348" s="8" t="str">
        <f>IF(A348&lt;='Characteristics&amp;Parameters'!$B$17,'Characteristics&amp;Parameters'!$B$7,IF(ConcentrationsCalculations!A348="DS Node",'Characteristics&amp;Parameters'!$B$8,""))</f>
        <v/>
      </c>
      <c r="C348" s="8"/>
      <c r="E348" s="7" t="s">
        <v>25</v>
      </c>
      <c r="F348" s="8" t="s">
        <v>25</v>
      </c>
      <c r="I348" s="7" t="str">
        <f>IF(I347&lt;'Characteristics&amp;Parameters'!$B$17,ConcentrationsCalculations!I347+1,IF(I347="DS Node","",IF(I347="","","DS Node")))</f>
        <v/>
      </c>
      <c r="J348" s="13" t="str">
        <f>IF(I348="DS Node",'Characteristics&amp;Parameters'!$B$8,IF(I348&lt;='Characteristics&amp;Parameters'!$B$17,((1-'Characteristics&amp;Parameters'!$B$19)*ConcentrationsCalculations!F348+'Characteristics&amp;Parameters'!$B$19*ConcentrationsCalculations!F347-F348/86400*'Characteristics&amp;Parameters'!$B$11*'Characteristics&amp;Parameters'!$B$12),""))</f>
        <v/>
      </c>
    </row>
    <row r="349" spans="1:10" x14ac:dyDescent="0.5">
      <c r="A349" s="7" t="str">
        <f>IF(A348&lt;'Characteristics&amp;Parameters'!$B$17,ConcentrationsCalculations!A348+1,IF(A348="DS Node","",IF(A348="","","DS Node")))</f>
        <v/>
      </c>
      <c r="B349" s="8" t="str">
        <f>IF(A349&lt;='Characteristics&amp;Parameters'!$B$17,'Characteristics&amp;Parameters'!$B$7,IF(ConcentrationsCalculations!A349="DS Node",'Characteristics&amp;Parameters'!$B$8,""))</f>
        <v/>
      </c>
      <c r="C349" s="8"/>
      <c r="E349" s="7" t="s">
        <v>25</v>
      </c>
      <c r="F349" s="8" t="s">
        <v>25</v>
      </c>
      <c r="I349" s="7" t="str">
        <f>IF(I348&lt;'Characteristics&amp;Parameters'!$B$17,ConcentrationsCalculations!I348+1,IF(I348="DS Node","",IF(I348="","","DS Node")))</f>
        <v/>
      </c>
      <c r="J349" s="13" t="str">
        <f>IF(I349="DS Node",'Characteristics&amp;Parameters'!$B$8,IF(I349&lt;='Characteristics&amp;Parameters'!$B$17,((1-'Characteristics&amp;Parameters'!$B$19)*ConcentrationsCalculations!F349+'Characteristics&amp;Parameters'!$B$19*ConcentrationsCalculations!F348-F349/86400*'Characteristics&amp;Parameters'!$B$11*'Characteristics&amp;Parameters'!$B$12),""))</f>
        <v/>
      </c>
    </row>
    <row r="350" spans="1:10" x14ac:dyDescent="0.5">
      <c r="A350" s="7" t="str">
        <f>IF(A349&lt;'Characteristics&amp;Parameters'!$B$17,ConcentrationsCalculations!A349+1,IF(A349="DS Node","",IF(A349="","","DS Node")))</f>
        <v/>
      </c>
      <c r="B350" s="8" t="str">
        <f>IF(A350&lt;='Characteristics&amp;Parameters'!$B$17,'Characteristics&amp;Parameters'!$B$7,IF(ConcentrationsCalculations!A350="DS Node",'Characteristics&amp;Parameters'!$B$8,""))</f>
        <v/>
      </c>
      <c r="C350" s="8"/>
      <c r="E350" s="7" t="s">
        <v>25</v>
      </c>
      <c r="F350" s="8" t="s">
        <v>25</v>
      </c>
      <c r="I350" s="7" t="str">
        <f>IF(I349&lt;'Characteristics&amp;Parameters'!$B$17,ConcentrationsCalculations!I349+1,IF(I349="DS Node","",IF(I349="","","DS Node")))</f>
        <v/>
      </c>
      <c r="J350" s="13" t="str">
        <f>IF(I350="DS Node",'Characteristics&amp;Parameters'!$B$8,IF(I350&lt;='Characteristics&amp;Parameters'!$B$17,((1-'Characteristics&amp;Parameters'!$B$19)*ConcentrationsCalculations!F350+'Characteristics&amp;Parameters'!$B$19*ConcentrationsCalculations!F349-F350/86400*'Characteristics&amp;Parameters'!$B$11*'Characteristics&amp;Parameters'!$B$12),""))</f>
        <v/>
      </c>
    </row>
    <row r="351" spans="1:10" x14ac:dyDescent="0.5">
      <c r="A351" s="7" t="str">
        <f>IF(A350&lt;'Characteristics&amp;Parameters'!$B$17,ConcentrationsCalculations!A350+1,IF(A350="DS Node","",IF(A350="","","DS Node")))</f>
        <v/>
      </c>
      <c r="B351" s="8" t="str">
        <f>IF(A351&lt;='Characteristics&amp;Parameters'!$B$17,'Characteristics&amp;Parameters'!$B$7,IF(ConcentrationsCalculations!A351="DS Node",'Characteristics&amp;Parameters'!$B$8,""))</f>
        <v/>
      </c>
      <c r="C351" s="8"/>
      <c r="E351" s="7" t="s">
        <v>25</v>
      </c>
      <c r="F351" s="8" t="s">
        <v>25</v>
      </c>
      <c r="I351" s="7" t="str">
        <f>IF(I350&lt;'Characteristics&amp;Parameters'!$B$17,ConcentrationsCalculations!I350+1,IF(I350="DS Node","",IF(I350="","","DS Node")))</f>
        <v/>
      </c>
      <c r="J351" s="13" t="str">
        <f>IF(I351="DS Node",'Characteristics&amp;Parameters'!$B$8,IF(I351&lt;='Characteristics&amp;Parameters'!$B$17,((1-'Characteristics&amp;Parameters'!$B$19)*ConcentrationsCalculations!F351+'Characteristics&amp;Parameters'!$B$19*ConcentrationsCalculations!F350-F351/86400*'Characteristics&amp;Parameters'!$B$11*'Characteristics&amp;Parameters'!$B$12),""))</f>
        <v/>
      </c>
    </row>
    <row r="352" spans="1:10" x14ac:dyDescent="0.5">
      <c r="A352" s="7" t="str">
        <f>IF(A351&lt;'Characteristics&amp;Parameters'!$B$17,ConcentrationsCalculations!A351+1,IF(A351="DS Node","",IF(A351="","","DS Node")))</f>
        <v/>
      </c>
      <c r="B352" s="8" t="str">
        <f>IF(A352&lt;='Characteristics&amp;Parameters'!$B$17,'Characteristics&amp;Parameters'!$B$7,IF(ConcentrationsCalculations!A352="DS Node",'Characteristics&amp;Parameters'!$B$8,""))</f>
        <v/>
      </c>
      <c r="C352" s="8"/>
      <c r="E352" s="7" t="s">
        <v>25</v>
      </c>
      <c r="F352" s="8" t="s">
        <v>25</v>
      </c>
      <c r="I352" s="7" t="str">
        <f>IF(I351&lt;'Characteristics&amp;Parameters'!$B$17,ConcentrationsCalculations!I351+1,IF(I351="DS Node","",IF(I351="","","DS Node")))</f>
        <v/>
      </c>
      <c r="J352" s="13" t="str">
        <f>IF(I352="DS Node",'Characteristics&amp;Parameters'!$B$8,IF(I352&lt;='Characteristics&amp;Parameters'!$B$17,((1-'Characteristics&amp;Parameters'!$B$19)*ConcentrationsCalculations!F352+'Characteristics&amp;Parameters'!$B$19*ConcentrationsCalculations!F351-F352/86400*'Characteristics&amp;Parameters'!$B$11*'Characteristics&amp;Parameters'!$B$12),""))</f>
        <v/>
      </c>
    </row>
    <row r="353" spans="1:10" x14ac:dyDescent="0.5">
      <c r="A353" s="7" t="str">
        <f>IF(A352&lt;'Characteristics&amp;Parameters'!$B$17,ConcentrationsCalculations!A352+1,IF(A352="DS Node","",IF(A352="","","DS Node")))</f>
        <v/>
      </c>
      <c r="B353" s="8" t="str">
        <f>IF(A353&lt;='Characteristics&amp;Parameters'!$B$17,'Characteristics&amp;Parameters'!$B$7,IF(ConcentrationsCalculations!A353="DS Node",'Characteristics&amp;Parameters'!$B$8,""))</f>
        <v/>
      </c>
      <c r="C353" s="8"/>
      <c r="E353" s="7" t="s">
        <v>25</v>
      </c>
      <c r="F353" s="8" t="s">
        <v>25</v>
      </c>
      <c r="I353" s="7" t="str">
        <f>IF(I352&lt;'Characteristics&amp;Parameters'!$B$17,ConcentrationsCalculations!I352+1,IF(I352="DS Node","",IF(I352="","","DS Node")))</f>
        <v/>
      </c>
      <c r="J353" s="13" t="str">
        <f>IF(I353="DS Node",'Characteristics&amp;Parameters'!$B$8,IF(I353&lt;='Characteristics&amp;Parameters'!$B$17,((1-'Characteristics&amp;Parameters'!$B$19)*ConcentrationsCalculations!F353+'Characteristics&amp;Parameters'!$B$19*ConcentrationsCalculations!F352-F353/86400*'Characteristics&amp;Parameters'!$B$11*'Characteristics&amp;Parameters'!$B$12),""))</f>
        <v/>
      </c>
    </row>
    <row r="354" spans="1:10" x14ac:dyDescent="0.5">
      <c r="A354" s="7" t="str">
        <f>IF(A353&lt;'Characteristics&amp;Parameters'!$B$17,ConcentrationsCalculations!A353+1,IF(A353="DS Node","",IF(A353="","","DS Node")))</f>
        <v/>
      </c>
      <c r="B354" s="8" t="str">
        <f>IF(A354&lt;='Characteristics&amp;Parameters'!$B$17,'Characteristics&amp;Parameters'!$B$7,IF(ConcentrationsCalculations!A354="DS Node",'Characteristics&amp;Parameters'!$B$8,""))</f>
        <v/>
      </c>
      <c r="C354" s="8"/>
      <c r="E354" s="7" t="s">
        <v>25</v>
      </c>
      <c r="F354" s="8" t="s">
        <v>25</v>
      </c>
      <c r="I354" s="7" t="str">
        <f>IF(I353&lt;'Characteristics&amp;Parameters'!$B$17,ConcentrationsCalculations!I353+1,IF(I353="DS Node","",IF(I353="","","DS Node")))</f>
        <v/>
      </c>
      <c r="J354" s="13" t="str">
        <f>IF(I354="DS Node",'Characteristics&amp;Parameters'!$B$8,IF(I354&lt;='Characteristics&amp;Parameters'!$B$17,((1-'Characteristics&amp;Parameters'!$B$19)*ConcentrationsCalculations!F354+'Characteristics&amp;Parameters'!$B$19*ConcentrationsCalculations!F353-F354/86400*'Characteristics&amp;Parameters'!$B$11*'Characteristics&amp;Parameters'!$B$12),""))</f>
        <v/>
      </c>
    </row>
    <row r="355" spans="1:10" x14ac:dyDescent="0.5">
      <c r="A355" s="7" t="str">
        <f>IF(A354&lt;'Characteristics&amp;Parameters'!$B$17,ConcentrationsCalculations!A354+1,IF(A354="DS Node","",IF(A354="","","DS Node")))</f>
        <v/>
      </c>
      <c r="B355" s="8" t="str">
        <f>IF(A355&lt;='Characteristics&amp;Parameters'!$B$17,'Characteristics&amp;Parameters'!$B$7,IF(ConcentrationsCalculations!A355="DS Node",'Characteristics&amp;Parameters'!$B$8,""))</f>
        <v/>
      </c>
      <c r="C355" s="8"/>
      <c r="E355" s="7" t="s">
        <v>25</v>
      </c>
      <c r="F355" s="8" t="s">
        <v>25</v>
      </c>
      <c r="I355" s="7" t="str">
        <f>IF(I354&lt;'Characteristics&amp;Parameters'!$B$17,ConcentrationsCalculations!I354+1,IF(I354="DS Node","",IF(I354="","","DS Node")))</f>
        <v/>
      </c>
      <c r="J355" s="13" t="str">
        <f>IF(I355="DS Node",'Characteristics&amp;Parameters'!$B$8,IF(I355&lt;='Characteristics&amp;Parameters'!$B$17,((1-'Characteristics&amp;Parameters'!$B$19)*ConcentrationsCalculations!F355+'Characteristics&amp;Parameters'!$B$19*ConcentrationsCalculations!F354-F355/86400*'Characteristics&amp;Parameters'!$B$11*'Characteristics&amp;Parameters'!$B$12),""))</f>
        <v/>
      </c>
    </row>
    <row r="356" spans="1:10" x14ac:dyDescent="0.5">
      <c r="A356" s="7" t="str">
        <f>IF(A355&lt;'Characteristics&amp;Parameters'!$B$17,ConcentrationsCalculations!A355+1,IF(A355="DS Node","",IF(A355="","","DS Node")))</f>
        <v/>
      </c>
      <c r="B356" s="8" t="str">
        <f>IF(A356&lt;='Characteristics&amp;Parameters'!$B$17,'Characteristics&amp;Parameters'!$B$7,IF(ConcentrationsCalculations!A356="DS Node",'Characteristics&amp;Parameters'!$B$8,""))</f>
        <v/>
      </c>
      <c r="C356" s="8"/>
      <c r="E356" s="7" t="s">
        <v>25</v>
      </c>
      <c r="F356" s="8" t="s">
        <v>25</v>
      </c>
      <c r="I356" s="7" t="str">
        <f>IF(I355&lt;'Characteristics&amp;Parameters'!$B$17,ConcentrationsCalculations!I355+1,IF(I355="DS Node","",IF(I355="","","DS Node")))</f>
        <v/>
      </c>
      <c r="J356" s="13" t="str">
        <f>IF(I356="DS Node",'Characteristics&amp;Parameters'!$B$8,IF(I356&lt;='Characteristics&amp;Parameters'!$B$17,((1-'Characteristics&amp;Parameters'!$B$19)*ConcentrationsCalculations!F356+'Characteristics&amp;Parameters'!$B$19*ConcentrationsCalculations!F355-F356/86400*'Characteristics&amp;Parameters'!$B$11*'Characteristics&amp;Parameters'!$B$12),""))</f>
        <v/>
      </c>
    </row>
    <row r="357" spans="1:10" x14ac:dyDescent="0.5">
      <c r="A357" s="7" t="str">
        <f>IF(A356&lt;'Characteristics&amp;Parameters'!$B$17,ConcentrationsCalculations!A356+1,IF(A356="DS Node","",IF(A356="","","DS Node")))</f>
        <v/>
      </c>
      <c r="B357" s="8" t="str">
        <f>IF(A357&lt;='Characteristics&amp;Parameters'!$B$17,'Characteristics&amp;Parameters'!$B$7,IF(ConcentrationsCalculations!A357="DS Node",'Characteristics&amp;Parameters'!$B$8,""))</f>
        <v/>
      </c>
      <c r="C357" s="8"/>
      <c r="E357" s="7" t="s">
        <v>25</v>
      </c>
      <c r="F357" s="8" t="s">
        <v>25</v>
      </c>
      <c r="I357" s="7" t="str">
        <f>IF(I356&lt;'Characteristics&amp;Parameters'!$B$17,ConcentrationsCalculations!I356+1,IF(I356="DS Node","",IF(I356="","","DS Node")))</f>
        <v/>
      </c>
      <c r="J357" s="13" t="str">
        <f>IF(I357="DS Node",'Characteristics&amp;Parameters'!$B$8,IF(I357&lt;='Characteristics&amp;Parameters'!$B$17,((1-'Characteristics&amp;Parameters'!$B$19)*ConcentrationsCalculations!F357+'Characteristics&amp;Parameters'!$B$19*ConcentrationsCalculations!F356-F357/86400*'Characteristics&amp;Parameters'!$B$11*'Characteristics&amp;Parameters'!$B$12),""))</f>
        <v/>
      </c>
    </row>
    <row r="358" spans="1:10" x14ac:dyDescent="0.5">
      <c r="A358" s="7" t="str">
        <f>IF(A357&lt;'Characteristics&amp;Parameters'!$B$17,ConcentrationsCalculations!A357+1,IF(A357="DS Node","",IF(A357="","","DS Node")))</f>
        <v/>
      </c>
      <c r="B358" s="8" t="str">
        <f>IF(A358&lt;='Characteristics&amp;Parameters'!$B$17,'Characteristics&amp;Parameters'!$B$7,IF(ConcentrationsCalculations!A358="DS Node",'Characteristics&amp;Parameters'!$B$8,""))</f>
        <v/>
      </c>
      <c r="C358" s="8"/>
      <c r="E358" s="7" t="s">
        <v>25</v>
      </c>
      <c r="F358" s="8" t="s">
        <v>25</v>
      </c>
      <c r="I358" s="7" t="str">
        <f>IF(I357&lt;'Characteristics&amp;Parameters'!$B$17,ConcentrationsCalculations!I357+1,IF(I357="DS Node","",IF(I357="","","DS Node")))</f>
        <v/>
      </c>
      <c r="J358" s="13" t="str">
        <f>IF(I358="DS Node",'Characteristics&amp;Parameters'!$B$8,IF(I358&lt;='Characteristics&amp;Parameters'!$B$17,((1-'Characteristics&amp;Parameters'!$B$19)*ConcentrationsCalculations!F358+'Characteristics&amp;Parameters'!$B$19*ConcentrationsCalculations!F357-F358/86400*'Characteristics&amp;Parameters'!$B$11*'Characteristics&amp;Parameters'!$B$12),""))</f>
        <v/>
      </c>
    </row>
    <row r="359" spans="1:10" x14ac:dyDescent="0.5">
      <c r="A359" s="7" t="str">
        <f>IF(A358&lt;'Characteristics&amp;Parameters'!$B$17,ConcentrationsCalculations!A358+1,IF(A358="DS Node","",IF(A358="","","DS Node")))</f>
        <v/>
      </c>
      <c r="B359" s="8" t="str">
        <f>IF(A359&lt;='Characteristics&amp;Parameters'!$B$17,'Characteristics&amp;Parameters'!$B$7,IF(ConcentrationsCalculations!A359="DS Node",'Characteristics&amp;Parameters'!$B$8,""))</f>
        <v/>
      </c>
      <c r="C359" s="8"/>
      <c r="E359" s="7" t="s">
        <v>25</v>
      </c>
      <c r="F359" s="8" t="s">
        <v>25</v>
      </c>
      <c r="I359" s="7" t="str">
        <f>IF(I358&lt;'Characteristics&amp;Parameters'!$B$17,ConcentrationsCalculations!I358+1,IF(I358="DS Node","",IF(I358="","","DS Node")))</f>
        <v/>
      </c>
      <c r="J359" s="13" t="str">
        <f>IF(I359="DS Node",'Characteristics&amp;Parameters'!$B$8,IF(I359&lt;='Characteristics&amp;Parameters'!$B$17,((1-'Characteristics&amp;Parameters'!$B$19)*ConcentrationsCalculations!F359+'Characteristics&amp;Parameters'!$B$19*ConcentrationsCalculations!F358-F359/86400*'Characteristics&amp;Parameters'!$B$11*'Characteristics&amp;Parameters'!$B$12),""))</f>
        <v/>
      </c>
    </row>
    <row r="360" spans="1:10" x14ac:dyDescent="0.5">
      <c r="A360" s="7" t="str">
        <f>IF(A359&lt;'Characteristics&amp;Parameters'!$B$17,ConcentrationsCalculations!A359+1,IF(A359="DS Node","",IF(A359="","","DS Node")))</f>
        <v/>
      </c>
      <c r="B360" s="8" t="str">
        <f>IF(A360&lt;='Characteristics&amp;Parameters'!$B$17,'Characteristics&amp;Parameters'!$B$7,IF(ConcentrationsCalculations!A360="DS Node",'Characteristics&amp;Parameters'!$B$8,""))</f>
        <v/>
      </c>
      <c r="C360" s="8"/>
      <c r="E360" s="7" t="s">
        <v>25</v>
      </c>
      <c r="F360" s="8" t="s">
        <v>25</v>
      </c>
      <c r="I360" s="7" t="str">
        <f>IF(I359&lt;'Characteristics&amp;Parameters'!$B$17,ConcentrationsCalculations!I359+1,IF(I359="DS Node","",IF(I359="","","DS Node")))</f>
        <v/>
      </c>
      <c r="J360" s="13" t="str">
        <f>IF(I360="DS Node",'Characteristics&amp;Parameters'!$B$8,IF(I360&lt;='Characteristics&amp;Parameters'!$B$17,((1-'Characteristics&amp;Parameters'!$B$19)*ConcentrationsCalculations!F360+'Characteristics&amp;Parameters'!$B$19*ConcentrationsCalculations!F359-F360/86400*'Characteristics&amp;Parameters'!$B$11*'Characteristics&amp;Parameters'!$B$12),""))</f>
        <v/>
      </c>
    </row>
    <row r="361" spans="1:10" x14ac:dyDescent="0.5">
      <c r="A361" s="7" t="str">
        <f>IF(A360&lt;'Characteristics&amp;Parameters'!$B$17,ConcentrationsCalculations!A360+1,IF(A360="DS Node","",IF(A360="","","DS Node")))</f>
        <v/>
      </c>
      <c r="B361" s="8" t="str">
        <f>IF(A361&lt;='Characteristics&amp;Parameters'!$B$17,'Characteristics&amp;Parameters'!$B$7,IF(ConcentrationsCalculations!A361="DS Node",'Characteristics&amp;Parameters'!$B$8,""))</f>
        <v/>
      </c>
      <c r="C361" s="8"/>
      <c r="E361" s="7" t="s">
        <v>25</v>
      </c>
      <c r="F361" s="8" t="s">
        <v>25</v>
      </c>
      <c r="I361" s="7" t="str">
        <f>IF(I360&lt;'Characteristics&amp;Parameters'!$B$17,ConcentrationsCalculations!I360+1,IF(I360="DS Node","",IF(I360="","","DS Node")))</f>
        <v/>
      </c>
      <c r="J361" s="13" t="str">
        <f>IF(I361="DS Node",'Characteristics&amp;Parameters'!$B$8,IF(I361&lt;='Characteristics&amp;Parameters'!$B$17,((1-'Characteristics&amp;Parameters'!$B$19)*ConcentrationsCalculations!F361+'Characteristics&amp;Parameters'!$B$19*ConcentrationsCalculations!F360-F361/86400*'Characteristics&amp;Parameters'!$B$11*'Characteristics&amp;Parameters'!$B$12),""))</f>
        <v/>
      </c>
    </row>
    <row r="362" spans="1:10" x14ac:dyDescent="0.5">
      <c r="A362" s="7" t="str">
        <f>IF(A361&lt;'Characteristics&amp;Parameters'!$B$17,ConcentrationsCalculations!A361+1,IF(A361="DS Node","",IF(A361="","","DS Node")))</f>
        <v/>
      </c>
      <c r="B362" s="8" t="str">
        <f>IF(A362&lt;='Characteristics&amp;Parameters'!$B$17,'Characteristics&amp;Parameters'!$B$7,IF(ConcentrationsCalculations!A362="DS Node",'Characteristics&amp;Parameters'!$B$8,""))</f>
        <v/>
      </c>
      <c r="C362" s="8"/>
      <c r="E362" s="7" t="s">
        <v>25</v>
      </c>
      <c r="F362" s="8" t="s">
        <v>25</v>
      </c>
      <c r="I362" s="7" t="str">
        <f>IF(I361&lt;'Characteristics&amp;Parameters'!$B$17,ConcentrationsCalculations!I361+1,IF(I361="DS Node","",IF(I361="","","DS Node")))</f>
        <v/>
      </c>
      <c r="J362" s="13" t="str">
        <f>IF(I362="DS Node",'Characteristics&amp;Parameters'!$B$8,IF(I362&lt;='Characteristics&amp;Parameters'!$B$17,((1-'Characteristics&amp;Parameters'!$B$19)*ConcentrationsCalculations!F362+'Characteristics&amp;Parameters'!$B$19*ConcentrationsCalculations!F361-F362/86400*'Characteristics&amp;Parameters'!$B$11*'Characteristics&amp;Parameters'!$B$12),""))</f>
        <v/>
      </c>
    </row>
    <row r="363" spans="1:10" x14ac:dyDescent="0.5">
      <c r="A363" s="7" t="str">
        <f>IF(A362&lt;'Characteristics&amp;Parameters'!$B$17,ConcentrationsCalculations!A362+1,IF(A362="DS Node","",IF(A362="","","DS Node")))</f>
        <v/>
      </c>
      <c r="B363" s="8" t="str">
        <f>IF(A363&lt;='Characteristics&amp;Parameters'!$B$17,'Characteristics&amp;Parameters'!$B$7,IF(ConcentrationsCalculations!A363="DS Node",'Characteristics&amp;Parameters'!$B$8,""))</f>
        <v/>
      </c>
      <c r="C363" s="8"/>
      <c r="E363" s="7" t="s">
        <v>25</v>
      </c>
      <c r="F363" s="8" t="s">
        <v>25</v>
      </c>
      <c r="I363" s="7" t="str">
        <f>IF(I362&lt;'Characteristics&amp;Parameters'!$B$17,ConcentrationsCalculations!I362+1,IF(I362="DS Node","",IF(I362="","","DS Node")))</f>
        <v/>
      </c>
      <c r="J363" s="13" t="str">
        <f>IF(I363="DS Node",'Characteristics&amp;Parameters'!$B$8,IF(I363&lt;='Characteristics&amp;Parameters'!$B$17,((1-'Characteristics&amp;Parameters'!$B$19)*ConcentrationsCalculations!F363+'Characteristics&amp;Parameters'!$B$19*ConcentrationsCalculations!F362-F363/86400*'Characteristics&amp;Parameters'!$B$11*'Characteristics&amp;Parameters'!$B$12),""))</f>
        <v/>
      </c>
    </row>
    <row r="364" spans="1:10" x14ac:dyDescent="0.5">
      <c r="A364" s="7" t="str">
        <f>IF(A363&lt;'Characteristics&amp;Parameters'!$B$17,ConcentrationsCalculations!A363+1,IF(A363="DS Node","",IF(A363="","","DS Node")))</f>
        <v/>
      </c>
      <c r="B364" s="8" t="str">
        <f>IF(A364&lt;='Characteristics&amp;Parameters'!$B$17,'Characteristics&amp;Parameters'!$B$7,IF(ConcentrationsCalculations!A364="DS Node",'Characteristics&amp;Parameters'!$B$8,""))</f>
        <v/>
      </c>
      <c r="C364" s="8"/>
      <c r="E364" s="7" t="s">
        <v>25</v>
      </c>
      <c r="F364" s="8" t="s">
        <v>25</v>
      </c>
      <c r="I364" s="7" t="str">
        <f>IF(I363&lt;'Characteristics&amp;Parameters'!$B$17,ConcentrationsCalculations!I363+1,IF(I363="DS Node","",IF(I363="","","DS Node")))</f>
        <v/>
      </c>
      <c r="J364" s="13" t="str">
        <f>IF(I364="DS Node",'Characteristics&amp;Parameters'!$B$8,IF(I364&lt;='Characteristics&amp;Parameters'!$B$17,((1-'Characteristics&amp;Parameters'!$B$19)*ConcentrationsCalculations!F364+'Characteristics&amp;Parameters'!$B$19*ConcentrationsCalculations!F363-F364/86400*'Characteristics&amp;Parameters'!$B$11*'Characteristics&amp;Parameters'!$B$12),""))</f>
        <v/>
      </c>
    </row>
    <row r="365" spans="1:10" x14ac:dyDescent="0.5">
      <c r="A365" s="7" t="str">
        <f>IF(A364&lt;'Characteristics&amp;Parameters'!$B$17,ConcentrationsCalculations!A364+1,IF(A364="DS Node","",IF(A364="","","DS Node")))</f>
        <v/>
      </c>
      <c r="B365" s="8" t="str">
        <f>IF(A365&lt;='Characteristics&amp;Parameters'!$B$17,'Characteristics&amp;Parameters'!$B$7,IF(ConcentrationsCalculations!A365="DS Node",'Characteristics&amp;Parameters'!$B$8,""))</f>
        <v/>
      </c>
      <c r="C365" s="8"/>
      <c r="E365" s="7" t="s">
        <v>25</v>
      </c>
      <c r="F365" s="8" t="s">
        <v>25</v>
      </c>
      <c r="I365" s="7" t="str">
        <f>IF(I364&lt;'Characteristics&amp;Parameters'!$B$17,ConcentrationsCalculations!I364+1,IF(I364="DS Node","",IF(I364="","","DS Node")))</f>
        <v/>
      </c>
      <c r="J365" s="13" t="str">
        <f>IF(I365="DS Node",'Characteristics&amp;Parameters'!$B$8,IF(I365&lt;='Characteristics&amp;Parameters'!$B$17,((1-'Characteristics&amp;Parameters'!$B$19)*ConcentrationsCalculations!F365+'Characteristics&amp;Parameters'!$B$19*ConcentrationsCalculations!F364-F365/86400*'Characteristics&amp;Parameters'!$B$11*'Characteristics&amp;Parameters'!$B$12),""))</f>
        <v/>
      </c>
    </row>
    <row r="366" spans="1:10" x14ac:dyDescent="0.5">
      <c r="A366" s="7" t="str">
        <f>IF(A365&lt;'Characteristics&amp;Parameters'!$B$17,ConcentrationsCalculations!A365+1,IF(A365="DS Node","",IF(A365="","","DS Node")))</f>
        <v/>
      </c>
      <c r="B366" s="8" t="str">
        <f>IF(A366&lt;='Characteristics&amp;Parameters'!$B$17,'Characteristics&amp;Parameters'!$B$7,IF(ConcentrationsCalculations!A366="DS Node",'Characteristics&amp;Parameters'!$B$8,""))</f>
        <v/>
      </c>
      <c r="C366" s="8"/>
      <c r="E366" s="7" t="s">
        <v>25</v>
      </c>
      <c r="F366" s="8" t="s">
        <v>25</v>
      </c>
      <c r="I366" s="7" t="str">
        <f>IF(I365&lt;'Characteristics&amp;Parameters'!$B$17,ConcentrationsCalculations!I365+1,IF(I365="DS Node","",IF(I365="","","DS Node")))</f>
        <v/>
      </c>
      <c r="J366" s="13" t="str">
        <f>IF(I366="DS Node",'Characteristics&amp;Parameters'!$B$8,IF(I366&lt;='Characteristics&amp;Parameters'!$B$17,((1-'Characteristics&amp;Parameters'!$B$19)*ConcentrationsCalculations!F366+'Characteristics&amp;Parameters'!$B$19*ConcentrationsCalculations!F365-F366/86400*'Characteristics&amp;Parameters'!$B$11*'Characteristics&amp;Parameters'!$B$12),""))</f>
        <v/>
      </c>
    </row>
    <row r="367" spans="1:10" x14ac:dyDescent="0.5">
      <c r="A367" s="7" t="str">
        <f>IF(A366&lt;'Characteristics&amp;Parameters'!$B$17,ConcentrationsCalculations!A366+1,IF(A366="DS Node","",IF(A366="","","DS Node")))</f>
        <v/>
      </c>
      <c r="B367" s="8" t="str">
        <f>IF(A367&lt;='Characteristics&amp;Parameters'!$B$17,'Characteristics&amp;Parameters'!$B$7,IF(ConcentrationsCalculations!A367="DS Node",'Characteristics&amp;Parameters'!$B$8,""))</f>
        <v/>
      </c>
      <c r="C367" s="8"/>
      <c r="E367" s="7" t="s">
        <v>25</v>
      </c>
      <c r="F367" s="8" t="s">
        <v>25</v>
      </c>
      <c r="I367" s="7" t="str">
        <f>IF(I366&lt;'Characteristics&amp;Parameters'!$B$17,ConcentrationsCalculations!I366+1,IF(I366="DS Node","",IF(I366="","","DS Node")))</f>
        <v/>
      </c>
      <c r="J367" s="13" t="str">
        <f>IF(I367="DS Node",'Characteristics&amp;Parameters'!$B$8,IF(I367&lt;='Characteristics&amp;Parameters'!$B$17,((1-'Characteristics&amp;Parameters'!$B$19)*ConcentrationsCalculations!F367+'Characteristics&amp;Parameters'!$B$19*ConcentrationsCalculations!F366-F367/86400*'Characteristics&amp;Parameters'!$B$11*'Characteristics&amp;Parameters'!$B$12),""))</f>
        <v/>
      </c>
    </row>
    <row r="368" spans="1:10" x14ac:dyDescent="0.5">
      <c r="A368" s="7" t="str">
        <f>IF(A367&lt;'Characteristics&amp;Parameters'!$B$17,ConcentrationsCalculations!A367+1,IF(A367="DS Node","",IF(A367="","","DS Node")))</f>
        <v/>
      </c>
      <c r="B368" s="8" t="str">
        <f>IF(A368&lt;='Characteristics&amp;Parameters'!$B$17,'Characteristics&amp;Parameters'!$B$7,IF(ConcentrationsCalculations!A368="DS Node",'Characteristics&amp;Parameters'!$B$8,""))</f>
        <v/>
      </c>
      <c r="C368" s="8"/>
      <c r="E368" s="7" t="s">
        <v>25</v>
      </c>
      <c r="F368" s="8" t="s">
        <v>25</v>
      </c>
      <c r="I368" s="7" t="str">
        <f>IF(I367&lt;'Characteristics&amp;Parameters'!$B$17,ConcentrationsCalculations!I367+1,IF(I367="DS Node","",IF(I367="","","DS Node")))</f>
        <v/>
      </c>
      <c r="J368" s="13" t="str">
        <f>IF(I368="DS Node",'Characteristics&amp;Parameters'!$B$8,IF(I368&lt;='Characteristics&amp;Parameters'!$B$17,((1-'Characteristics&amp;Parameters'!$B$19)*ConcentrationsCalculations!F368+'Characteristics&amp;Parameters'!$B$19*ConcentrationsCalculations!F367-F368/86400*'Characteristics&amp;Parameters'!$B$11*'Characteristics&amp;Parameters'!$B$12),""))</f>
        <v/>
      </c>
    </row>
    <row r="369" spans="1:10" x14ac:dyDescent="0.5">
      <c r="A369" s="7" t="str">
        <f>IF(A368&lt;'Characteristics&amp;Parameters'!$B$17,ConcentrationsCalculations!A368+1,IF(A368="DS Node","",IF(A368="","","DS Node")))</f>
        <v/>
      </c>
      <c r="B369" s="8" t="str">
        <f>IF(A369&lt;='Characteristics&amp;Parameters'!$B$17,'Characteristics&amp;Parameters'!$B$7,IF(ConcentrationsCalculations!A369="DS Node",'Characteristics&amp;Parameters'!$B$8,""))</f>
        <v/>
      </c>
      <c r="C369" s="8"/>
      <c r="E369" s="7" t="s">
        <v>25</v>
      </c>
      <c r="F369" s="8" t="s">
        <v>25</v>
      </c>
      <c r="I369" s="7" t="str">
        <f>IF(I368&lt;'Characteristics&amp;Parameters'!$B$17,ConcentrationsCalculations!I368+1,IF(I368="DS Node","",IF(I368="","","DS Node")))</f>
        <v/>
      </c>
      <c r="J369" s="13" t="str">
        <f>IF(I369="DS Node",'Characteristics&amp;Parameters'!$B$8,IF(I369&lt;='Characteristics&amp;Parameters'!$B$17,((1-'Characteristics&amp;Parameters'!$B$19)*ConcentrationsCalculations!F369+'Characteristics&amp;Parameters'!$B$19*ConcentrationsCalculations!F368-F369/86400*'Characteristics&amp;Parameters'!$B$11*'Characteristics&amp;Parameters'!$B$12),""))</f>
        <v/>
      </c>
    </row>
    <row r="370" spans="1:10" x14ac:dyDescent="0.5">
      <c r="A370" s="7" t="str">
        <f>IF(A369&lt;'Characteristics&amp;Parameters'!$B$17,ConcentrationsCalculations!A369+1,IF(A369="DS Node","",IF(A369="","","DS Node")))</f>
        <v/>
      </c>
      <c r="B370" s="8" t="str">
        <f>IF(A370&lt;='Characteristics&amp;Parameters'!$B$17,'Characteristics&amp;Parameters'!$B$7,IF(ConcentrationsCalculations!A370="DS Node",'Characteristics&amp;Parameters'!$B$8,""))</f>
        <v/>
      </c>
      <c r="C370" s="8"/>
      <c r="E370" s="7" t="s">
        <v>25</v>
      </c>
      <c r="F370" s="8" t="s">
        <v>25</v>
      </c>
      <c r="I370" s="7" t="str">
        <f>IF(I369&lt;'Characteristics&amp;Parameters'!$B$17,ConcentrationsCalculations!I369+1,IF(I369="DS Node","",IF(I369="","","DS Node")))</f>
        <v/>
      </c>
      <c r="J370" s="13" t="str">
        <f>IF(I370="DS Node",'Characteristics&amp;Parameters'!$B$8,IF(I370&lt;='Characteristics&amp;Parameters'!$B$17,((1-'Characteristics&amp;Parameters'!$B$19)*ConcentrationsCalculations!F370+'Characteristics&amp;Parameters'!$B$19*ConcentrationsCalculations!F369-F370/86400*'Characteristics&amp;Parameters'!$B$11*'Characteristics&amp;Parameters'!$B$12),""))</f>
        <v/>
      </c>
    </row>
    <row r="371" spans="1:10" x14ac:dyDescent="0.5">
      <c r="A371" s="7" t="str">
        <f>IF(A370&lt;'Characteristics&amp;Parameters'!$B$17,ConcentrationsCalculations!A370+1,IF(A370="DS Node","",IF(A370="","","DS Node")))</f>
        <v/>
      </c>
      <c r="B371" s="8" t="str">
        <f>IF(A371&lt;='Characteristics&amp;Parameters'!$B$17,'Characteristics&amp;Parameters'!$B$7,IF(ConcentrationsCalculations!A371="DS Node",'Characteristics&amp;Parameters'!$B$8,""))</f>
        <v/>
      </c>
      <c r="C371" s="8"/>
      <c r="E371" s="7" t="s">
        <v>25</v>
      </c>
      <c r="F371" s="8" t="s">
        <v>25</v>
      </c>
      <c r="I371" s="7" t="str">
        <f>IF(I370&lt;'Characteristics&amp;Parameters'!$B$17,ConcentrationsCalculations!I370+1,IF(I370="DS Node","",IF(I370="","","DS Node")))</f>
        <v/>
      </c>
      <c r="J371" s="13" t="str">
        <f>IF(I371="DS Node",'Characteristics&amp;Parameters'!$B$8,IF(I371&lt;='Characteristics&amp;Parameters'!$B$17,((1-'Characteristics&amp;Parameters'!$B$19)*ConcentrationsCalculations!F371+'Characteristics&amp;Parameters'!$B$19*ConcentrationsCalculations!F370-F371/86400*'Characteristics&amp;Parameters'!$B$11*'Characteristics&amp;Parameters'!$B$12),""))</f>
        <v/>
      </c>
    </row>
    <row r="372" spans="1:10" x14ac:dyDescent="0.5">
      <c r="A372" s="7" t="str">
        <f>IF(A371&lt;'Characteristics&amp;Parameters'!$B$17,ConcentrationsCalculations!A371+1,IF(A371="DS Node","",IF(A371="","","DS Node")))</f>
        <v/>
      </c>
      <c r="B372" s="8" t="str">
        <f>IF(A372&lt;='Characteristics&amp;Parameters'!$B$17,'Characteristics&amp;Parameters'!$B$7,IF(ConcentrationsCalculations!A372="DS Node",'Characteristics&amp;Parameters'!$B$8,""))</f>
        <v/>
      </c>
      <c r="C372" s="8"/>
      <c r="E372" s="7" t="s">
        <v>25</v>
      </c>
      <c r="F372" s="8" t="s">
        <v>25</v>
      </c>
      <c r="I372" s="7" t="str">
        <f>IF(I371&lt;'Characteristics&amp;Parameters'!$B$17,ConcentrationsCalculations!I371+1,IF(I371="DS Node","",IF(I371="","","DS Node")))</f>
        <v/>
      </c>
      <c r="J372" s="13" t="str">
        <f>IF(I372="DS Node",'Characteristics&amp;Parameters'!$B$8,IF(I372&lt;='Characteristics&amp;Parameters'!$B$17,((1-'Characteristics&amp;Parameters'!$B$19)*ConcentrationsCalculations!F372+'Characteristics&amp;Parameters'!$B$19*ConcentrationsCalculations!F371-F372/86400*'Characteristics&amp;Parameters'!$B$11*'Characteristics&amp;Parameters'!$B$12),""))</f>
        <v/>
      </c>
    </row>
    <row r="373" spans="1:10" x14ac:dyDescent="0.5">
      <c r="A373" s="7" t="str">
        <f>IF(A372&lt;'Characteristics&amp;Parameters'!$B$17,ConcentrationsCalculations!A372+1,IF(A372="DS Node","",IF(A372="","","DS Node")))</f>
        <v/>
      </c>
      <c r="B373" s="8" t="str">
        <f>IF(A373&lt;='Characteristics&amp;Parameters'!$B$17,'Characteristics&amp;Parameters'!$B$7,IF(ConcentrationsCalculations!A373="DS Node",'Characteristics&amp;Parameters'!$B$8,""))</f>
        <v/>
      </c>
      <c r="C373" s="8"/>
      <c r="E373" s="7" t="s">
        <v>25</v>
      </c>
      <c r="F373" s="8" t="s">
        <v>25</v>
      </c>
      <c r="I373" s="7" t="str">
        <f>IF(I372&lt;'Characteristics&amp;Parameters'!$B$17,ConcentrationsCalculations!I372+1,IF(I372="DS Node","",IF(I372="","","DS Node")))</f>
        <v/>
      </c>
      <c r="J373" s="13" t="str">
        <f>IF(I373="DS Node",'Characteristics&amp;Parameters'!$B$8,IF(I373&lt;='Characteristics&amp;Parameters'!$B$17,((1-'Characteristics&amp;Parameters'!$B$19)*ConcentrationsCalculations!F373+'Characteristics&amp;Parameters'!$B$19*ConcentrationsCalculations!F372-F373/86400*'Characteristics&amp;Parameters'!$B$11*'Characteristics&amp;Parameters'!$B$12),""))</f>
        <v/>
      </c>
    </row>
    <row r="374" spans="1:10" x14ac:dyDescent="0.5">
      <c r="A374" s="7" t="str">
        <f>IF(A373&lt;'Characteristics&amp;Parameters'!$B$17,ConcentrationsCalculations!A373+1,IF(A373="DS Node","",IF(A373="","","DS Node")))</f>
        <v/>
      </c>
      <c r="B374" s="8" t="str">
        <f>IF(A374&lt;='Characteristics&amp;Parameters'!$B$17,'Characteristics&amp;Parameters'!$B$7,IF(ConcentrationsCalculations!A374="DS Node",'Characteristics&amp;Parameters'!$B$8,""))</f>
        <v/>
      </c>
      <c r="C374" s="8"/>
      <c r="E374" s="7" t="s">
        <v>25</v>
      </c>
      <c r="F374" s="8" t="s">
        <v>25</v>
      </c>
      <c r="I374" s="7" t="str">
        <f>IF(I373&lt;'Characteristics&amp;Parameters'!$B$17,ConcentrationsCalculations!I373+1,IF(I373="DS Node","",IF(I373="","","DS Node")))</f>
        <v/>
      </c>
      <c r="J374" s="13" t="str">
        <f>IF(I374="DS Node",'Characteristics&amp;Parameters'!$B$8,IF(I374&lt;='Characteristics&amp;Parameters'!$B$17,((1-'Characteristics&amp;Parameters'!$B$19)*ConcentrationsCalculations!F374+'Characteristics&amp;Parameters'!$B$19*ConcentrationsCalculations!F373-F374/86400*'Characteristics&amp;Parameters'!$B$11*'Characteristics&amp;Parameters'!$B$12),""))</f>
        <v/>
      </c>
    </row>
    <row r="375" spans="1:10" x14ac:dyDescent="0.5">
      <c r="A375" s="7" t="str">
        <f>IF(A374&lt;'Characteristics&amp;Parameters'!$B$17,ConcentrationsCalculations!A374+1,IF(A374="DS Node","",IF(A374="","","DS Node")))</f>
        <v/>
      </c>
      <c r="B375" s="8" t="str">
        <f>IF(A375&lt;='Characteristics&amp;Parameters'!$B$17,'Characteristics&amp;Parameters'!$B$7,IF(ConcentrationsCalculations!A375="DS Node",'Characteristics&amp;Parameters'!$B$8,""))</f>
        <v/>
      </c>
      <c r="C375" s="8"/>
      <c r="E375" s="7" t="s">
        <v>25</v>
      </c>
      <c r="F375" s="8" t="s">
        <v>25</v>
      </c>
      <c r="I375" s="7" t="str">
        <f>IF(I374&lt;'Characteristics&amp;Parameters'!$B$17,ConcentrationsCalculations!I374+1,IF(I374="DS Node","",IF(I374="","","DS Node")))</f>
        <v/>
      </c>
      <c r="J375" s="13" t="str">
        <f>IF(I375="DS Node",'Characteristics&amp;Parameters'!$B$8,IF(I375&lt;='Characteristics&amp;Parameters'!$B$17,((1-'Characteristics&amp;Parameters'!$B$19)*ConcentrationsCalculations!F375+'Characteristics&amp;Parameters'!$B$19*ConcentrationsCalculations!F374-F375/86400*'Characteristics&amp;Parameters'!$B$11*'Characteristics&amp;Parameters'!$B$12),""))</f>
        <v/>
      </c>
    </row>
    <row r="376" spans="1:10" x14ac:dyDescent="0.5">
      <c r="A376" s="7" t="str">
        <f>IF(A375&lt;'Characteristics&amp;Parameters'!$B$17,ConcentrationsCalculations!A375+1,IF(A375="DS Node","",IF(A375="","","DS Node")))</f>
        <v/>
      </c>
      <c r="B376" s="8" t="str">
        <f>IF(A376&lt;='Characteristics&amp;Parameters'!$B$17,'Characteristics&amp;Parameters'!$B$7,IF(ConcentrationsCalculations!A376="DS Node",'Characteristics&amp;Parameters'!$B$8,""))</f>
        <v/>
      </c>
      <c r="C376" s="8"/>
      <c r="E376" s="7" t="s">
        <v>25</v>
      </c>
      <c r="F376" s="8" t="s">
        <v>25</v>
      </c>
      <c r="I376" s="7" t="str">
        <f>IF(I375&lt;'Characteristics&amp;Parameters'!$B$17,ConcentrationsCalculations!I375+1,IF(I375="DS Node","",IF(I375="","","DS Node")))</f>
        <v/>
      </c>
      <c r="J376" s="13" t="str">
        <f>IF(I376="DS Node",'Characteristics&amp;Parameters'!$B$8,IF(I376&lt;='Characteristics&amp;Parameters'!$B$17,((1-'Characteristics&amp;Parameters'!$B$19)*ConcentrationsCalculations!F376+'Characteristics&amp;Parameters'!$B$19*ConcentrationsCalculations!F375-F376/86400*'Characteristics&amp;Parameters'!$B$11*'Characteristics&amp;Parameters'!$B$12),""))</f>
        <v/>
      </c>
    </row>
    <row r="377" spans="1:10" x14ac:dyDescent="0.5">
      <c r="A377" s="7" t="str">
        <f>IF(A376&lt;'Characteristics&amp;Parameters'!$B$17,ConcentrationsCalculations!A376+1,IF(A376="DS Node","",IF(A376="","","DS Node")))</f>
        <v/>
      </c>
      <c r="B377" s="8" t="str">
        <f>IF(A377&lt;='Characteristics&amp;Parameters'!$B$17,'Characteristics&amp;Parameters'!$B$7,IF(ConcentrationsCalculations!A377="DS Node",'Characteristics&amp;Parameters'!$B$8,""))</f>
        <v/>
      </c>
      <c r="C377" s="8"/>
      <c r="E377" s="7" t="s">
        <v>25</v>
      </c>
      <c r="F377" s="8" t="s">
        <v>25</v>
      </c>
      <c r="I377" s="7" t="str">
        <f>IF(I376&lt;'Characteristics&amp;Parameters'!$B$17,ConcentrationsCalculations!I376+1,IF(I376="DS Node","",IF(I376="","","DS Node")))</f>
        <v/>
      </c>
      <c r="J377" s="13" t="str">
        <f>IF(I377="DS Node",'Characteristics&amp;Parameters'!$B$8,IF(I377&lt;='Characteristics&amp;Parameters'!$B$17,((1-'Characteristics&amp;Parameters'!$B$19)*ConcentrationsCalculations!F377+'Characteristics&amp;Parameters'!$B$19*ConcentrationsCalculations!F376-F377/86400*'Characteristics&amp;Parameters'!$B$11*'Characteristics&amp;Parameters'!$B$12),""))</f>
        <v/>
      </c>
    </row>
    <row r="378" spans="1:10" x14ac:dyDescent="0.5">
      <c r="A378" s="7" t="str">
        <f>IF(A377&lt;'Characteristics&amp;Parameters'!$B$17,ConcentrationsCalculations!A377+1,IF(A377="DS Node","",IF(A377="","","DS Node")))</f>
        <v/>
      </c>
      <c r="B378" s="8" t="str">
        <f>IF(A378&lt;='Characteristics&amp;Parameters'!$B$17,'Characteristics&amp;Parameters'!$B$7,IF(ConcentrationsCalculations!A378="DS Node",'Characteristics&amp;Parameters'!$B$8,""))</f>
        <v/>
      </c>
      <c r="C378" s="8"/>
      <c r="E378" s="7" t="s">
        <v>25</v>
      </c>
      <c r="F378" s="8" t="s">
        <v>25</v>
      </c>
      <c r="I378" s="7" t="str">
        <f>IF(I377&lt;'Characteristics&amp;Parameters'!$B$17,ConcentrationsCalculations!I377+1,IF(I377="DS Node","",IF(I377="","","DS Node")))</f>
        <v/>
      </c>
      <c r="J378" s="13" t="str">
        <f>IF(I378="DS Node",'Characteristics&amp;Parameters'!$B$8,IF(I378&lt;='Characteristics&amp;Parameters'!$B$17,((1-'Characteristics&amp;Parameters'!$B$19)*ConcentrationsCalculations!F378+'Characteristics&amp;Parameters'!$B$19*ConcentrationsCalculations!F377-F378/86400*'Characteristics&amp;Parameters'!$B$11*'Characteristics&amp;Parameters'!$B$12),""))</f>
        <v/>
      </c>
    </row>
    <row r="379" spans="1:10" x14ac:dyDescent="0.5">
      <c r="A379" s="7" t="str">
        <f>IF(A378&lt;'Characteristics&amp;Parameters'!$B$17,ConcentrationsCalculations!A378+1,IF(A378="DS Node","",IF(A378="","","DS Node")))</f>
        <v/>
      </c>
      <c r="B379" s="8" t="str">
        <f>IF(A379&lt;='Characteristics&amp;Parameters'!$B$17,'Characteristics&amp;Parameters'!$B$7,IF(ConcentrationsCalculations!A379="DS Node",'Characteristics&amp;Parameters'!$B$8,""))</f>
        <v/>
      </c>
      <c r="C379" s="8"/>
      <c r="E379" s="7" t="s">
        <v>25</v>
      </c>
      <c r="F379" s="8" t="s">
        <v>25</v>
      </c>
      <c r="I379" s="7" t="str">
        <f>IF(I378&lt;'Characteristics&amp;Parameters'!$B$17,ConcentrationsCalculations!I378+1,IF(I378="DS Node","",IF(I378="","","DS Node")))</f>
        <v/>
      </c>
      <c r="J379" s="13" t="str">
        <f>IF(I379="DS Node",'Characteristics&amp;Parameters'!$B$8,IF(I379&lt;='Characteristics&amp;Parameters'!$B$17,((1-'Characteristics&amp;Parameters'!$B$19)*ConcentrationsCalculations!F379+'Characteristics&amp;Parameters'!$B$19*ConcentrationsCalculations!F378-F379/86400*'Characteristics&amp;Parameters'!$B$11*'Characteristics&amp;Parameters'!$B$12),""))</f>
        <v/>
      </c>
    </row>
    <row r="380" spans="1:10" x14ac:dyDescent="0.5">
      <c r="A380" s="7" t="str">
        <f>IF(A379&lt;'Characteristics&amp;Parameters'!$B$17,ConcentrationsCalculations!A379+1,IF(A379="DS Node","",IF(A379="","","DS Node")))</f>
        <v/>
      </c>
      <c r="B380" s="8" t="str">
        <f>IF(A380&lt;='Characteristics&amp;Parameters'!$B$17,'Characteristics&amp;Parameters'!$B$7,IF(ConcentrationsCalculations!A380="DS Node",'Characteristics&amp;Parameters'!$B$8,""))</f>
        <v/>
      </c>
      <c r="C380" s="8"/>
      <c r="E380" s="7" t="s">
        <v>25</v>
      </c>
      <c r="F380" s="8" t="s">
        <v>25</v>
      </c>
      <c r="I380" s="7" t="str">
        <f>IF(I379&lt;'Characteristics&amp;Parameters'!$B$17,ConcentrationsCalculations!I379+1,IF(I379="DS Node","",IF(I379="","","DS Node")))</f>
        <v/>
      </c>
      <c r="J380" s="13" t="str">
        <f>IF(I380="DS Node",'Characteristics&amp;Parameters'!$B$8,IF(I380&lt;='Characteristics&amp;Parameters'!$B$17,((1-'Characteristics&amp;Parameters'!$B$19)*ConcentrationsCalculations!F380+'Characteristics&amp;Parameters'!$B$19*ConcentrationsCalculations!F379-F380/86400*'Characteristics&amp;Parameters'!$B$11*'Characteristics&amp;Parameters'!$B$12),""))</f>
        <v/>
      </c>
    </row>
    <row r="381" spans="1:10" x14ac:dyDescent="0.5">
      <c r="A381" s="7" t="str">
        <f>IF(A380&lt;'Characteristics&amp;Parameters'!$B$17,ConcentrationsCalculations!A380+1,IF(A380="DS Node","",IF(A380="","","DS Node")))</f>
        <v/>
      </c>
      <c r="B381" s="8" t="str">
        <f>IF(A381&lt;='Characteristics&amp;Parameters'!$B$17,'Characteristics&amp;Parameters'!$B$7,IF(ConcentrationsCalculations!A381="DS Node",'Characteristics&amp;Parameters'!$B$8,""))</f>
        <v/>
      </c>
      <c r="C381" s="8"/>
      <c r="E381" s="7" t="s">
        <v>25</v>
      </c>
      <c r="F381" s="8" t="s">
        <v>25</v>
      </c>
      <c r="I381" s="7" t="str">
        <f>IF(I380&lt;'Characteristics&amp;Parameters'!$B$17,ConcentrationsCalculations!I380+1,IF(I380="DS Node","",IF(I380="","","DS Node")))</f>
        <v/>
      </c>
      <c r="J381" s="13" t="str">
        <f>IF(I381="DS Node",'Characteristics&amp;Parameters'!$B$8,IF(I381&lt;='Characteristics&amp;Parameters'!$B$17,((1-'Characteristics&amp;Parameters'!$B$19)*ConcentrationsCalculations!F381+'Characteristics&amp;Parameters'!$B$19*ConcentrationsCalculations!F380-F381/86400*'Characteristics&amp;Parameters'!$B$11*'Characteristics&amp;Parameters'!$B$12),""))</f>
        <v/>
      </c>
    </row>
    <row r="382" spans="1:10" x14ac:dyDescent="0.5">
      <c r="A382" s="7" t="str">
        <f>IF(A381&lt;'Characteristics&amp;Parameters'!$B$17,ConcentrationsCalculations!A381+1,IF(A381="DS Node","",IF(A381="","","DS Node")))</f>
        <v/>
      </c>
      <c r="B382" s="8" t="str">
        <f>IF(A382&lt;='Characteristics&amp;Parameters'!$B$17,'Characteristics&amp;Parameters'!$B$7,IF(ConcentrationsCalculations!A382="DS Node",'Characteristics&amp;Parameters'!$B$8,""))</f>
        <v/>
      </c>
      <c r="C382" s="8"/>
      <c r="E382" s="7" t="s">
        <v>25</v>
      </c>
      <c r="F382" s="8" t="s">
        <v>25</v>
      </c>
      <c r="I382" s="7" t="str">
        <f>IF(I381&lt;'Characteristics&amp;Parameters'!$B$17,ConcentrationsCalculations!I381+1,IF(I381="DS Node","",IF(I381="","","DS Node")))</f>
        <v/>
      </c>
      <c r="J382" s="13" t="str">
        <f>IF(I382="DS Node",'Characteristics&amp;Parameters'!$B$8,IF(I382&lt;='Characteristics&amp;Parameters'!$B$17,((1-'Characteristics&amp;Parameters'!$B$19)*ConcentrationsCalculations!F382+'Characteristics&amp;Parameters'!$B$19*ConcentrationsCalculations!F381-F382/86400*'Characteristics&amp;Parameters'!$B$11*'Characteristics&amp;Parameters'!$B$12),""))</f>
        <v/>
      </c>
    </row>
    <row r="383" spans="1:10" x14ac:dyDescent="0.5">
      <c r="A383" s="7" t="str">
        <f>IF(A382&lt;'Characteristics&amp;Parameters'!$B$17,ConcentrationsCalculations!A382+1,IF(A382="DS Node","",IF(A382="","","DS Node")))</f>
        <v/>
      </c>
      <c r="B383" s="8" t="str">
        <f>IF(A383&lt;='Characteristics&amp;Parameters'!$B$17,'Characteristics&amp;Parameters'!$B$7,IF(ConcentrationsCalculations!A383="DS Node",'Characteristics&amp;Parameters'!$B$8,""))</f>
        <v/>
      </c>
      <c r="C383" s="8"/>
      <c r="E383" s="7" t="s">
        <v>25</v>
      </c>
      <c r="F383" s="8" t="s">
        <v>25</v>
      </c>
      <c r="I383" s="7" t="str">
        <f>IF(I382&lt;'Characteristics&amp;Parameters'!$B$17,ConcentrationsCalculations!I382+1,IF(I382="DS Node","",IF(I382="","","DS Node")))</f>
        <v/>
      </c>
      <c r="J383" s="13" t="str">
        <f>IF(I383="DS Node",'Characteristics&amp;Parameters'!$B$8,IF(I383&lt;='Characteristics&amp;Parameters'!$B$17,((1-'Characteristics&amp;Parameters'!$B$19)*ConcentrationsCalculations!F383+'Characteristics&amp;Parameters'!$B$19*ConcentrationsCalculations!F382-F383/86400*'Characteristics&amp;Parameters'!$B$11*'Characteristics&amp;Parameters'!$B$12),""))</f>
        <v/>
      </c>
    </row>
    <row r="384" spans="1:10" x14ac:dyDescent="0.5">
      <c r="A384" s="7" t="str">
        <f>IF(A383&lt;'Characteristics&amp;Parameters'!$B$17,ConcentrationsCalculations!A383+1,IF(A383="DS Node","",IF(A383="","","DS Node")))</f>
        <v/>
      </c>
      <c r="B384" s="8" t="str">
        <f>IF(A384&lt;='Characteristics&amp;Parameters'!$B$17,'Characteristics&amp;Parameters'!$B$7,IF(ConcentrationsCalculations!A384="DS Node",'Characteristics&amp;Parameters'!$B$8,""))</f>
        <v/>
      </c>
      <c r="C384" s="8"/>
      <c r="E384" s="7" t="s">
        <v>25</v>
      </c>
      <c r="F384" s="8" t="s">
        <v>25</v>
      </c>
      <c r="I384" s="7" t="str">
        <f>IF(I383&lt;'Characteristics&amp;Parameters'!$B$17,ConcentrationsCalculations!I383+1,IF(I383="DS Node","",IF(I383="","","DS Node")))</f>
        <v/>
      </c>
      <c r="J384" s="13" t="str">
        <f>IF(I384="DS Node",'Characteristics&amp;Parameters'!$B$8,IF(I384&lt;='Characteristics&amp;Parameters'!$B$17,((1-'Characteristics&amp;Parameters'!$B$19)*ConcentrationsCalculations!F384+'Characteristics&amp;Parameters'!$B$19*ConcentrationsCalculations!F383-F384/86400*'Characteristics&amp;Parameters'!$B$11*'Characteristics&amp;Parameters'!$B$12),""))</f>
        <v/>
      </c>
    </row>
    <row r="385" spans="1:10" x14ac:dyDescent="0.5">
      <c r="A385" s="7" t="str">
        <f>IF(A384&lt;'Characteristics&amp;Parameters'!$B$17,ConcentrationsCalculations!A384+1,IF(A384="DS Node","",IF(A384="","","DS Node")))</f>
        <v/>
      </c>
      <c r="B385" s="8" t="str">
        <f>IF(A385&lt;='Characteristics&amp;Parameters'!$B$17,'Characteristics&amp;Parameters'!$B$7,IF(ConcentrationsCalculations!A385="DS Node",'Characteristics&amp;Parameters'!$B$8,""))</f>
        <v/>
      </c>
      <c r="C385" s="8"/>
      <c r="E385" s="7" t="s">
        <v>25</v>
      </c>
      <c r="F385" s="8" t="s">
        <v>25</v>
      </c>
      <c r="I385" s="7" t="str">
        <f>IF(I384&lt;'Characteristics&amp;Parameters'!$B$17,ConcentrationsCalculations!I384+1,IF(I384="DS Node","",IF(I384="","","DS Node")))</f>
        <v/>
      </c>
      <c r="J385" s="13" t="str">
        <f>IF(I385="DS Node",'Characteristics&amp;Parameters'!$B$8,IF(I385&lt;='Characteristics&amp;Parameters'!$B$17,((1-'Characteristics&amp;Parameters'!$B$19)*ConcentrationsCalculations!F385+'Characteristics&amp;Parameters'!$B$19*ConcentrationsCalculations!F384-F385/86400*'Characteristics&amp;Parameters'!$B$11*'Characteristics&amp;Parameters'!$B$12),""))</f>
        <v/>
      </c>
    </row>
    <row r="386" spans="1:10" x14ac:dyDescent="0.5">
      <c r="A386" s="7" t="str">
        <f>IF(A385&lt;'Characteristics&amp;Parameters'!$B$17,ConcentrationsCalculations!A385+1,IF(A385="DS Node","",IF(A385="","","DS Node")))</f>
        <v/>
      </c>
      <c r="B386" s="8" t="str">
        <f>IF(A386&lt;='Characteristics&amp;Parameters'!$B$17,'Characteristics&amp;Parameters'!$B$7,IF(ConcentrationsCalculations!A386="DS Node",'Characteristics&amp;Parameters'!$B$8,""))</f>
        <v/>
      </c>
      <c r="C386" s="8"/>
      <c r="E386" s="7" t="s">
        <v>25</v>
      </c>
      <c r="F386" s="8" t="s">
        <v>25</v>
      </c>
      <c r="I386" s="7" t="str">
        <f>IF(I385&lt;'Characteristics&amp;Parameters'!$B$17,ConcentrationsCalculations!I385+1,IF(I385="DS Node","",IF(I385="","","DS Node")))</f>
        <v/>
      </c>
      <c r="J386" s="13" t="str">
        <f>IF(I386="DS Node",'Characteristics&amp;Parameters'!$B$8,IF(I386&lt;='Characteristics&amp;Parameters'!$B$17,((1-'Characteristics&amp;Parameters'!$B$19)*ConcentrationsCalculations!F386+'Characteristics&amp;Parameters'!$B$19*ConcentrationsCalculations!F385-F386/86400*'Characteristics&amp;Parameters'!$B$11*'Characteristics&amp;Parameters'!$B$12),""))</f>
        <v/>
      </c>
    </row>
    <row r="387" spans="1:10" x14ac:dyDescent="0.5">
      <c r="A387" s="7" t="str">
        <f>IF(A386&lt;'Characteristics&amp;Parameters'!$B$17,ConcentrationsCalculations!A386+1,IF(A386="DS Node","",IF(A386="","","DS Node")))</f>
        <v/>
      </c>
      <c r="B387" s="8" t="str">
        <f>IF(A387&lt;='Characteristics&amp;Parameters'!$B$17,'Characteristics&amp;Parameters'!$B$7,IF(ConcentrationsCalculations!A387="DS Node",'Characteristics&amp;Parameters'!$B$8,""))</f>
        <v/>
      </c>
      <c r="C387" s="8"/>
      <c r="E387" s="7" t="s">
        <v>25</v>
      </c>
      <c r="F387" s="8" t="s">
        <v>25</v>
      </c>
      <c r="I387" s="7" t="str">
        <f>IF(I386&lt;'Characteristics&amp;Parameters'!$B$17,ConcentrationsCalculations!I386+1,IF(I386="DS Node","",IF(I386="","","DS Node")))</f>
        <v/>
      </c>
      <c r="J387" s="13" t="str">
        <f>IF(I387="DS Node",'Characteristics&amp;Parameters'!$B$8,IF(I387&lt;='Characteristics&amp;Parameters'!$B$17,((1-'Characteristics&amp;Parameters'!$B$19)*ConcentrationsCalculations!F387+'Characteristics&amp;Parameters'!$B$19*ConcentrationsCalculations!F386-F387/86400*'Characteristics&amp;Parameters'!$B$11*'Characteristics&amp;Parameters'!$B$12),""))</f>
        <v/>
      </c>
    </row>
    <row r="388" spans="1:10" x14ac:dyDescent="0.5">
      <c r="A388" s="7" t="str">
        <f>IF(A387&lt;'Characteristics&amp;Parameters'!$B$17,ConcentrationsCalculations!A387+1,IF(A387="DS Node","",IF(A387="","","DS Node")))</f>
        <v/>
      </c>
      <c r="B388" s="8" t="str">
        <f>IF(A388&lt;='Characteristics&amp;Parameters'!$B$17,'Characteristics&amp;Parameters'!$B$7,IF(ConcentrationsCalculations!A388="DS Node",'Characteristics&amp;Parameters'!$B$8,""))</f>
        <v/>
      </c>
      <c r="C388" s="8"/>
      <c r="E388" s="7" t="s">
        <v>25</v>
      </c>
      <c r="F388" s="8" t="s">
        <v>25</v>
      </c>
      <c r="I388" s="7" t="str">
        <f>IF(I387&lt;'Characteristics&amp;Parameters'!$B$17,ConcentrationsCalculations!I387+1,IF(I387="DS Node","",IF(I387="","","DS Node")))</f>
        <v/>
      </c>
      <c r="J388" s="13" t="str">
        <f>IF(I388="DS Node",'Characteristics&amp;Parameters'!$B$8,IF(I388&lt;='Characteristics&amp;Parameters'!$B$17,((1-'Characteristics&amp;Parameters'!$B$19)*ConcentrationsCalculations!F388+'Characteristics&amp;Parameters'!$B$19*ConcentrationsCalculations!F387-F388/86400*'Characteristics&amp;Parameters'!$B$11*'Characteristics&amp;Parameters'!$B$12),""))</f>
        <v/>
      </c>
    </row>
    <row r="389" spans="1:10" x14ac:dyDescent="0.5">
      <c r="A389" s="7" t="str">
        <f>IF(A388&lt;'Characteristics&amp;Parameters'!$B$17,ConcentrationsCalculations!A388+1,IF(A388="DS Node","",IF(A388="","","DS Node")))</f>
        <v/>
      </c>
      <c r="B389" s="8" t="str">
        <f>IF(A389&lt;='Characteristics&amp;Parameters'!$B$17,'Characteristics&amp;Parameters'!$B$7,IF(ConcentrationsCalculations!A389="DS Node",'Characteristics&amp;Parameters'!$B$8,""))</f>
        <v/>
      </c>
      <c r="C389" s="8"/>
      <c r="E389" s="7" t="s">
        <v>25</v>
      </c>
      <c r="F389" s="8" t="s">
        <v>25</v>
      </c>
      <c r="I389" s="7" t="str">
        <f>IF(I388&lt;'Characteristics&amp;Parameters'!$B$17,ConcentrationsCalculations!I388+1,IF(I388="DS Node","",IF(I388="","","DS Node")))</f>
        <v/>
      </c>
      <c r="J389" s="13" t="str">
        <f>IF(I389="DS Node",'Characteristics&amp;Parameters'!$B$8,IF(I389&lt;='Characteristics&amp;Parameters'!$B$17,((1-'Characteristics&amp;Parameters'!$B$19)*ConcentrationsCalculations!F389+'Characteristics&amp;Parameters'!$B$19*ConcentrationsCalculations!F388-F389/86400*'Characteristics&amp;Parameters'!$B$11*'Characteristics&amp;Parameters'!$B$12),""))</f>
        <v/>
      </c>
    </row>
    <row r="390" spans="1:10" x14ac:dyDescent="0.5">
      <c r="A390" s="7" t="str">
        <f>IF(A389&lt;'Characteristics&amp;Parameters'!$B$17,ConcentrationsCalculations!A389+1,IF(A389="DS Node","",IF(A389="","","DS Node")))</f>
        <v/>
      </c>
      <c r="B390" s="8" t="str">
        <f>IF(A390&lt;='Characteristics&amp;Parameters'!$B$17,'Characteristics&amp;Parameters'!$B$7,IF(ConcentrationsCalculations!A390="DS Node",'Characteristics&amp;Parameters'!$B$8,""))</f>
        <v/>
      </c>
      <c r="C390" s="8"/>
      <c r="E390" s="7" t="s">
        <v>25</v>
      </c>
      <c r="F390" s="8" t="s">
        <v>25</v>
      </c>
      <c r="I390" s="7" t="str">
        <f>IF(I389&lt;'Characteristics&amp;Parameters'!$B$17,ConcentrationsCalculations!I389+1,IF(I389="DS Node","",IF(I389="","","DS Node")))</f>
        <v/>
      </c>
      <c r="J390" s="13" t="str">
        <f>IF(I390="DS Node",'Characteristics&amp;Parameters'!$B$8,IF(I390&lt;='Characteristics&amp;Parameters'!$B$17,((1-'Characteristics&amp;Parameters'!$B$19)*ConcentrationsCalculations!F390+'Characteristics&amp;Parameters'!$B$19*ConcentrationsCalculations!F389-F390/86400*'Characteristics&amp;Parameters'!$B$11*'Characteristics&amp;Parameters'!$B$12),""))</f>
        <v/>
      </c>
    </row>
    <row r="391" spans="1:10" x14ac:dyDescent="0.5">
      <c r="A391" s="7" t="str">
        <f>IF(A390&lt;'Characteristics&amp;Parameters'!$B$17,ConcentrationsCalculations!A390+1,IF(A390="DS Node","",IF(A390="","","DS Node")))</f>
        <v/>
      </c>
      <c r="B391" s="8" t="str">
        <f>IF(A391&lt;='Characteristics&amp;Parameters'!$B$17,'Characteristics&amp;Parameters'!$B$7,IF(ConcentrationsCalculations!A391="DS Node",'Characteristics&amp;Parameters'!$B$8,""))</f>
        <v/>
      </c>
      <c r="C391" s="8"/>
      <c r="E391" s="7" t="s">
        <v>25</v>
      </c>
      <c r="F391" s="8" t="s">
        <v>25</v>
      </c>
      <c r="I391" s="7" t="str">
        <f>IF(I390&lt;'Characteristics&amp;Parameters'!$B$17,ConcentrationsCalculations!I390+1,IF(I390="DS Node","",IF(I390="","","DS Node")))</f>
        <v/>
      </c>
      <c r="J391" s="13" t="str">
        <f>IF(I391="DS Node",'Characteristics&amp;Parameters'!$B$8,IF(I391&lt;='Characteristics&amp;Parameters'!$B$17,((1-'Characteristics&amp;Parameters'!$B$19)*ConcentrationsCalculations!F391+'Characteristics&amp;Parameters'!$B$19*ConcentrationsCalculations!F390-F391/86400*'Characteristics&amp;Parameters'!$B$11*'Characteristics&amp;Parameters'!$B$12),""))</f>
        <v/>
      </c>
    </row>
    <row r="392" spans="1:10" x14ac:dyDescent="0.5">
      <c r="A392" s="7" t="str">
        <f>IF(A391&lt;'Characteristics&amp;Parameters'!$B$17,ConcentrationsCalculations!A391+1,IF(A391="DS Node","",IF(A391="","","DS Node")))</f>
        <v/>
      </c>
      <c r="B392" s="8" t="str">
        <f>IF(A392&lt;='Characteristics&amp;Parameters'!$B$17,'Characteristics&amp;Parameters'!$B$7,IF(ConcentrationsCalculations!A392="DS Node",'Characteristics&amp;Parameters'!$B$8,""))</f>
        <v/>
      </c>
      <c r="C392" s="8"/>
      <c r="E392" s="7" t="s">
        <v>25</v>
      </c>
      <c r="F392" s="8" t="s">
        <v>25</v>
      </c>
      <c r="I392" s="7" t="str">
        <f>IF(I391&lt;'Characteristics&amp;Parameters'!$B$17,ConcentrationsCalculations!I391+1,IF(I391="DS Node","",IF(I391="","","DS Node")))</f>
        <v/>
      </c>
      <c r="J392" s="13" t="str">
        <f>IF(I392="DS Node",'Characteristics&amp;Parameters'!$B$8,IF(I392&lt;='Characteristics&amp;Parameters'!$B$17,((1-'Characteristics&amp;Parameters'!$B$19)*ConcentrationsCalculations!F392+'Characteristics&amp;Parameters'!$B$19*ConcentrationsCalculations!F391-F392/86400*'Characteristics&amp;Parameters'!$B$11*'Characteristics&amp;Parameters'!$B$12),""))</f>
        <v/>
      </c>
    </row>
    <row r="393" spans="1:10" x14ac:dyDescent="0.5">
      <c r="A393" s="7" t="str">
        <f>IF(A392&lt;'Characteristics&amp;Parameters'!$B$17,ConcentrationsCalculations!A392+1,IF(A392="DS Node","",IF(A392="","","DS Node")))</f>
        <v/>
      </c>
      <c r="B393" s="8" t="str">
        <f>IF(A393&lt;='Characteristics&amp;Parameters'!$B$17,'Characteristics&amp;Parameters'!$B$7,IF(ConcentrationsCalculations!A393="DS Node",'Characteristics&amp;Parameters'!$B$8,""))</f>
        <v/>
      </c>
      <c r="C393" s="8"/>
      <c r="E393" s="7" t="s">
        <v>25</v>
      </c>
      <c r="F393" s="8" t="s">
        <v>25</v>
      </c>
      <c r="I393" s="7" t="str">
        <f>IF(I392&lt;'Characteristics&amp;Parameters'!$B$17,ConcentrationsCalculations!I392+1,IF(I392="DS Node","",IF(I392="","","DS Node")))</f>
        <v/>
      </c>
      <c r="J393" s="13" t="str">
        <f>IF(I393="DS Node",'Characteristics&amp;Parameters'!$B$8,IF(I393&lt;='Characteristics&amp;Parameters'!$B$17,((1-'Characteristics&amp;Parameters'!$B$19)*ConcentrationsCalculations!F393+'Characteristics&amp;Parameters'!$B$19*ConcentrationsCalculations!F392-F393/86400*'Characteristics&amp;Parameters'!$B$11*'Characteristics&amp;Parameters'!$B$12),""))</f>
        <v/>
      </c>
    </row>
    <row r="394" spans="1:10" x14ac:dyDescent="0.5">
      <c r="A394" s="7" t="str">
        <f>IF(A393&lt;'Characteristics&amp;Parameters'!$B$17,ConcentrationsCalculations!A393+1,IF(A393="DS Node","",IF(A393="","","DS Node")))</f>
        <v/>
      </c>
      <c r="B394" s="8" t="str">
        <f>IF(A394&lt;='Characteristics&amp;Parameters'!$B$17,'Characteristics&amp;Parameters'!$B$7,IF(ConcentrationsCalculations!A394="DS Node",'Characteristics&amp;Parameters'!$B$8,""))</f>
        <v/>
      </c>
      <c r="C394" s="8"/>
      <c r="E394" s="7" t="s">
        <v>25</v>
      </c>
      <c r="F394" s="8" t="s">
        <v>25</v>
      </c>
      <c r="I394" s="7" t="str">
        <f>IF(I393&lt;'Characteristics&amp;Parameters'!$B$17,ConcentrationsCalculations!I393+1,IF(I393="DS Node","",IF(I393="","","DS Node")))</f>
        <v/>
      </c>
      <c r="J394" s="13" t="str">
        <f>IF(I394="DS Node",'Characteristics&amp;Parameters'!$B$8,IF(I394&lt;='Characteristics&amp;Parameters'!$B$17,((1-'Characteristics&amp;Parameters'!$B$19)*ConcentrationsCalculations!F394+'Characteristics&amp;Parameters'!$B$19*ConcentrationsCalculations!F393-F394/86400*'Characteristics&amp;Parameters'!$B$11*'Characteristics&amp;Parameters'!$B$12),""))</f>
        <v/>
      </c>
    </row>
    <row r="395" spans="1:10" x14ac:dyDescent="0.5">
      <c r="A395" s="7" t="str">
        <f>IF(A394&lt;'Characteristics&amp;Parameters'!$B$17,ConcentrationsCalculations!A394+1,IF(A394="DS Node","",IF(A394="","","DS Node")))</f>
        <v/>
      </c>
      <c r="B395" s="8" t="str">
        <f>IF(A395&lt;='Characteristics&amp;Parameters'!$B$17,'Characteristics&amp;Parameters'!$B$7,IF(ConcentrationsCalculations!A395="DS Node",'Characteristics&amp;Parameters'!$B$8,""))</f>
        <v/>
      </c>
      <c r="C395" s="8"/>
      <c r="E395" s="7" t="s">
        <v>25</v>
      </c>
      <c r="F395" s="8" t="s">
        <v>25</v>
      </c>
      <c r="I395" s="7" t="str">
        <f>IF(I394&lt;'Characteristics&amp;Parameters'!$B$17,ConcentrationsCalculations!I394+1,IF(I394="DS Node","",IF(I394="","","DS Node")))</f>
        <v/>
      </c>
      <c r="J395" s="13" t="str">
        <f>IF(I395="DS Node",'Characteristics&amp;Parameters'!$B$8,IF(I395&lt;='Characteristics&amp;Parameters'!$B$17,((1-'Characteristics&amp;Parameters'!$B$19)*ConcentrationsCalculations!F395+'Characteristics&amp;Parameters'!$B$19*ConcentrationsCalculations!F394-F395/86400*'Characteristics&amp;Parameters'!$B$11*'Characteristics&amp;Parameters'!$B$12),""))</f>
        <v/>
      </c>
    </row>
    <row r="396" spans="1:10" x14ac:dyDescent="0.5">
      <c r="A396" s="7" t="str">
        <f>IF(A395&lt;'Characteristics&amp;Parameters'!$B$17,ConcentrationsCalculations!A395+1,IF(A395="DS Node","",IF(A395="","","DS Node")))</f>
        <v/>
      </c>
      <c r="B396" s="8" t="str">
        <f>IF(A396&lt;='Characteristics&amp;Parameters'!$B$17,'Characteristics&amp;Parameters'!$B$7,IF(ConcentrationsCalculations!A396="DS Node",'Characteristics&amp;Parameters'!$B$8,""))</f>
        <v/>
      </c>
      <c r="C396" s="8"/>
      <c r="E396" s="7" t="s">
        <v>25</v>
      </c>
      <c r="F396" s="8" t="s">
        <v>25</v>
      </c>
      <c r="I396" s="7" t="str">
        <f>IF(I395&lt;'Characteristics&amp;Parameters'!$B$17,ConcentrationsCalculations!I395+1,IF(I395="DS Node","",IF(I395="","","DS Node")))</f>
        <v/>
      </c>
      <c r="J396" s="13" t="str">
        <f>IF(I396="DS Node",'Characteristics&amp;Parameters'!$B$8,IF(I396&lt;='Characteristics&amp;Parameters'!$B$17,((1-'Characteristics&amp;Parameters'!$B$19)*ConcentrationsCalculations!F396+'Characteristics&amp;Parameters'!$B$19*ConcentrationsCalculations!F395-F396/86400*'Characteristics&amp;Parameters'!$B$11*'Characteristics&amp;Parameters'!$B$12),""))</f>
        <v/>
      </c>
    </row>
    <row r="397" spans="1:10" x14ac:dyDescent="0.5">
      <c r="A397" s="7" t="str">
        <f>IF(A396&lt;'Characteristics&amp;Parameters'!$B$17,ConcentrationsCalculations!A396+1,IF(A396="DS Node","",IF(A396="","","DS Node")))</f>
        <v/>
      </c>
      <c r="B397" s="8" t="str">
        <f>IF(A397&lt;='Characteristics&amp;Parameters'!$B$17,'Characteristics&amp;Parameters'!$B$7,IF(ConcentrationsCalculations!A397="DS Node",'Characteristics&amp;Parameters'!$B$8,""))</f>
        <v/>
      </c>
      <c r="C397" s="8"/>
      <c r="E397" s="7" t="s">
        <v>25</v>
      </c>
      <c r="F397" s="8" t="s">
        <v>25</v>
      </c>
      <c r="I397" s="7" t="str">
        <f>IF(I396&lt;'Characteristics&amp;Parameters'!$B$17,ConcentrationsCalculations!I396+1,IF(I396="DS Node","",IF(I396="","","DS Node")))</f>
        <v/>
      </c>
      <c r="J397" s="13" t="str">
        <f>IF(I397="DS Node",'Characteristics&amp;Parameters'!$B$8,IF(I397&lt;='Characteristics&amp;Parameters'!$B$17,((1-'Characteristics&amp;Parameters'!$B$19)*ConcentrationsCalculations!F397+'Characteristics&amp;Parameters'!$B$19*ConcentrationsCalculations!F396-F397/86400*'Characteristics&amp;Parameters'!$B$11*'Characteristics&amp;Parameters'!$B$12),""))</f>
        <v/>
      </c>
    </row>
    <row r="398" spans="1:10" x14ac:dyDescent="0.5">
      <c r="A398" s="7" t="str">
        <f>IF(A397&lt;'Characteristics&amp;Parameters'!$B$17,ConcentrationsCalculations!A397+1,IF(A397="DS Node","",IF(A397="","","DS Node")))</f>
        <v/>
      </c>
      <c r="B398" s="8" t="str">
        <f>IF(A398&lt;='Characteristics&amp;Parameters'!$B$17,'Characteristics&amp;Parameters'!$B$7,IF(ConcentrationsCalculations!A398="DS Node",'Characteristics&amp;Parameters'!$B$8,""))</f>
        <v/>
      </c>
      <c r="C398" s="8"/>
      <c r="E398" s="7" t="s">
        <v>25</v>
      </c>
      <c r="F398" s="8" t="s">
        <v>25</v>
      </c>
      <c r="I398" s="7" t="str">
        <f>IF(I397&lt;'Characteristics&amp;Parameters'!$B$17,ConcentrationsCalculations!I397+1,IF(I397="DS Node","",IF(I397="","","DS Node")))</f>
        <v/>
      </c>
      <c r="J398" s="13" t="str">
        <f>IF(I398="DS Node",'Characteristics&amp;Parameters'!$B$8,IF(I398&lt;='Characteristics&amp;Parameters'!$B$17,((1-'Characteristics&amp;Parameters'!$B$19)*ConcentrationsCalculations!F398+'Characteristics&amp;Parameters'!$B$19*ConcentrationsCalculations!F397-F398/86400*'Characteristics&amp;Parameters'!$B$11*'Characteristics&amp;Parameters'!$B$12),""))</f>
        <v/>
      </c>
    </row>
    <row r="399" spans="1:10" x14ac:dyDescent="0.5">
      <c r="A399" s="7" t="str">
        <f>IF(A398&lt;'Characteristics&amp;Parameters'!$B$17,ConcentrationsCalculations!A398+1,IF(A398="DS Node","",IF(A398="","","DS Node")))</f>
        <v/>
      </c>
      <c r="B399" s="8" t="str">
        <f>IF(A399&lt;='Characteristics&amp;Parameters'!$B$17,'Characteristics&amp;Parameters'!$B$7,IF(ConcentrationsCalculations!A399="DS Node",'Characteristics&amp;Parameters'!$B$8,""))</f>
        <v/>
      </c>
      <c r="C399" s="8"/>
      <c r="E399" s="7" t="s">
        <v>25</v>
      </c>
      <c r="F399" s="8" t="s">
        <v>25</v>
      </c>
      <c r="I399" s="7" t="str">
        <f>IF(I398&lt;'Characteristics&amp;Parameters'!$B$17,ConcentrationsCalculations!I398+1,IF(I398="DS Node","",IF(I398="","","DS Node")))</f>
        <v/>
      </c>
      <c r="J399" s="13" t="str">
        <f>IF(I399="DS Node",'Characteristics&amp;Parameters'!$B$8,IF(I399&lt;='Characteristics&amp;Parameters'!$B$17,((1-'Characteristics&amp;Parameters'!$B$19)*ConcentrationsCalculations!F399+'Characteristics&amp;Parameters'!$B$19*ConcentrationsCalculations!F398-F399/86400*'Characteristics&amp;Parameters'!$B$11*'Characteristics&amp;Parameters'!$B$12),""))</f>
        <v/>
      </c>
    </row>
    <row r="400" spans="1:10" x14ac:dyDescent="0.5">
      <c r="A400" s="7" t="str">
        <f>IF(A399&lt;'Characteristics&amp;Parameters'!$B$17,ConcentrationsCalculations!A399+1,IF(A399="DS Node","",IF(A399="","","DS Node")))</f>
        <v/>
      </c>
      <c r="B400" s="8" t="str">
        <f>IF(A400&lt;='Characteristics&amp;Parameters'!$B$17,'Characteristics&amp;Parameters'!$B$7,IF(ConcentrationsCalculations!A400="DS Node",'Characteristics&amp;Parameters'!$B$8,""))</f>
        <v/>
      </c>
      <c r="C400" s="8"/>
      <c r="E400" s="7" t="s">
        <v>25</v>
      </c>
      <c r="F400" s="8" t="s">
        <v>25</v>
      </c>
      <c r="I400" s="7" t="str">
        <f>IF(I399&lt;'Characteristics&amp;Parameters'!$B$17,ConcentrationsCalculations!I399+1,IF(I399="DS Node","",IF(I399="","","DS Node")))</f>
        <v/>
      </c>
      <c r="J400" s="13" t="str">
        <f>IF(I400="DS Node",'Characteristics&amp;Parameters'!$B$8,IF(I400&lt;='Characteristics&amp;Parameters'!$B$17,((1-'Characteristics&amp;Parameters'!$B$19)*ConcentrationsCalculations!F400+'Characteristics&amp;Parameters'!$B$19*ConcentrationsCalculations!F399-F400/86400*'Characteristics&amp;Parameters'!$B$11*'Characteristics&amp;Parameters'!$B$12),""))</f>
        <v/>
      </c>
    </row>
    <row r="401" spans="1:10" x14ac:dyDescent="0.5">
      <c r="A401" s="7" t="str">
        <f>IF(A400&lt;'Characteristics&amp;Parameters'!$B$17,ConcentrationsCalculations!A400+1,IF(A400="DS Node","",IF(A400="","","DS Node")))</f>
        <v/>
      </c>
      <c r="B401" s="8" t="str">
        <f>IF(A401&lt;='Characteristics&amp;Parameters'!$B$17,'Characteristics&amp;Parameters'!$B$7,IF(ConcentrationsCalculations!A401="DS Node",'Characteristics&amp;Parameters'!$B$8,""))</f>
        <v/>
      </c>
      <c r="C401" s="8"/>
      <c r="E401" s="7" t="s">
        <v>25</v>
      </c>
      <c r="F401" s="8" t="s">
        <v>25</v>
      </c>
      <c r="I401" s="7" t="str">
        <f>IF(I400&lt;'Characteristics&amp;Parameters'!$B$17,ConcentrationsCalculations!I400+1,IF(I400="DS Node","",IF(I400="","","DS Node")))</f>
        <v/>
      </c>
      <c r="J401" s="13" t="str">
        <f>IF(I401="DS Node",'Characteristics&amp;Parameters'!$B$8,IF(I401&lt;='Characteristics&amp;Parameters'!$B$17,((1-'Characteristics&amp;Parameters'!$B$19)*ConcentrationsCalculations!F401+'Characteristics&amp;Parameters'!$B$19*ConcentrationsCalculations!F400-F401/86400*'Characteristics&amp;Parameters'!$B$11*'Characteristics&amp;Parameters'!$B$12),""))</f>
        <v/>
      </c>
    </row>
    <row r="402" spans="1:10" x14ac:dyDescent="0.5">
      <c r="A402" s="7" t="str">
        <f>IF(A401&lt;'Characteristics&amp;Parameters'!$B$17,ConcentrationsCalculations!A401+1,IF(A401="DS Node","",IF(A401="","","DS Node")))</f>
        <v/>
      </c>
      <c r="B402" s="8" t="str">
        <f>IF(A402&lt;='Characteristics&amp;Parameters'!$B$17,'Characteristics&amp;Parameters'!$B$7,IF(ConcentrationsCalculations!A402="DS Node",'Characteristics&amp;Parameters'!$B$8,""))</f>
        <v/>
      </c>
      <c r="C402" s="8"/>
      <c r="E402" s="7" t="s">
        <v>25</v>
      </c>
      <c r="F402" s="8" t="s">
        <v>25</v>
      </c>
      <c r="I402" s="7" t="str">
        <f>IF(I401&lt;'Characteristics&amp;Parameters'!$B$17,ConcentrationsCalculations!I401+1,IF(I401="DS Node","",IF(I401="","","DS Node")))</f>
        <v/>
      </c>
      <c r="J402" s="13" t="str">
        <f>IF(I402="DS Node",'Characteristics&amp;Parameters'!$B$8,IF(I402&lt;='Characteristics&amp;Parameters'!$B$17,((1-'Characteristics&amp;Parameters'!$B$19)*ConcentrationsCalculations!F402+'Characteristics&amp;Parameters'!$B$19*ConcentrationsCalculations!F401-F402/86400*'Characteristics&amp;Parameters'!$B$11*'Characteristics&amp;Parameters'!$B$12),""))</f>
        <v/>
      </c>
    </row>
    <row r="403" spans="1:10" x14ac:dyDescent="0.5">
      <c r="A403" s="7" t="str">
        <f>IF(A402&lt;'Characteristics&amp;Parameters'!$B$17,ConcentrationsCalculations!A402+1,IF(A402="DS Node","",IF(A402="","","DS Node")))</f>
        <v/>
      </c>
      <c r="B403" s="8" t="str">
        <f>IF(A403&lt;='Characteristics&amp;Parameters'!$B$17,'Characteristics&amp;Parameters'!$B$7,IF(ConcentrationsCalculations!A403="DS Node",'Characteristics&amp;Parameters'!$B$8,""))</f>
        <v/>
      </c>
      <c r="C403" s="8"/>
      <c r="E403" s="7" t="s">
        <v>25</v>
      </c>
      <c r="F403" s="8" t="s">
        <v>25</v>
      </c>
      <c r="I403" s="7" t="str">
        <f>IF(I402&lt;'Characteristics&amp;Parameters'!$B$17,ConcentrationsCalculations!I402+1,IF(I402="DS Node","",IF(I402="","","DS Node")))</f>
        <v/>
      </c>
      <c r="J403" s="13" t="str">
        <f>IF(I403="DS Node",'Characteristics&amp;Parameters'!$B$8,IF(I403&lt;='Characteristics&amp;Parameters'!$B$17,((1-'Characteristics&amp;Parameters'!$B$19)*ConcentrationsCalculations!F403+'Characteristics&amp;Parameters'!$B$19*ConcentrationsCalculations!F402-F403/86400*'Characteristics&amp;Parameters'!$B$11*'Characteristics&amp;Parameters'!$B$12),""))</f>
        <v/>
      </c>
    </row>
    <row r="404" spans="1:10" x14ac:dyDescent="0.5">
      <c r="A404" s="7" t="str">
        <f>IF(A403&lt;'Characteristics&amp;Parameters'!$B$17,ConcentrationsCalculations!A403+1,IF(A403="DS Node","",IF(A403="","","DS Node")))</f>
        <v/>
      </c>
      <c r="B404" s="8" t="str">
        <f>IF(A404&lt;='Characteristics&amp;Parameters'!$B$17,'Characteristics&amp;Parameters'!$B$7,IF(ConcentrationsCalculations!A404="DS Node",'Characteristics&amp;Parameters'!$B$8,""))</f>
        <v/>
      </c>
      <c r="C404" s="8"/>
      <c r="E404" s="7" t="s">
        <v>25</v>
      </c>
      <c r="F404" s="8" t="s">
        <v>25</v>
      </c>
      <c r="I404" s="7" t="str">
        <f>IF(I403&lt;'Characteristics&amp;Parameters'!$B$17,ConcentrationsCalculations!I403+1,IF(I403="DS Node","",IF(I403="","","DS Node")))</f>
        <v/>
      </c>
      <c r="J404" s="13" t="str">
        <f>IF(I404="DS Node",'Characteristics&amp;Parameters'!$B$8,IF(I404&lt;='Characteristics&amp;Parameters'!$B$17,((1-'Characteristics&amp;Parameters'!$B$19)*ConcentrationsCalculations!F404+'Characteristics&amp;Parameters'!$B$19*ConcentrationsCalculations!F403-F404/86400*'Characteristics&amp;Parameters'!$B$11*'Characteristics&amp;Parameters'!$B$12),""))</f>
        <v/>
      </c>
    </row>
    <row r="405" spans="1:10" x14ac:dyDescent="0.5">
      <c r="A405" s="7" t="str">
        <f>IF(A404&lt;'Characteristics&amp;Parameters'!$B$17,ConcentrationsCalculations!A404+1,IF(A404="DS Node","",IF(A404="","","DS Node")))</f>
        <v/>
      </c>
      <c r="B405" s="8" t="str">
        <f>IF(A405&lt;='Characteristics&amp;Parameters'!$B$17,'Characteristics&amp;Parameters'!$B$7,IF(ConcentrationsCalculations!A405="DS Node",'Characteristics&amp;Parameters'!$B$8,""))</f>
        <v/>
      </c>
      <c r="C405" s="8"/>
      <c r="E405" s="7" t="s">
        <v>25</v>
      </c>
      <c r="F405" s="8" t="s">
        <v>25</v>
      </c>
      <c r="I405" s="7" t="str">
        <f>IF(I404&lt;'Characteristics&amp;Parameters'!$B$17,ConcentrationsCalculations!I404+1,IF(I404="DS Node","",IF(I404="","","DS Node")))</f>
        <v/>
      </c>
      <c r="J405" s="13" t="str">
        <f>IF(I405="DS Node",'Characteristics&amp;Parameters'!$B$8,IF(I405&lt;='Characteristics&amp;Parameters'!$B$17,((1-'Characteristics&amp;Parameters'!$B$19)*ConcentrationsCalculations!F405+'Characteristics&amp;Parameters'!$B$19*ConcentrationsCalculations!F404-F405/86400*'Characteristics&amp;Parameters'!$B$11*'Characteristics&amp;Parameters'!$B$12),""))</f>
        <v/>
      </c>
    </row>
    <row r="406" spans="1:10" x14ac:dyDescent="0.5">
      <c r="A406" s="7" t="str">
        <f>IF(A405&lt;'Characteristics&amp;Parameters'!$B$17,ConcentrationsCalculations!A405+1,IF(A405="DS Node","",IF(A405="","","DS Node")))</f>
        <v/>
      </c>
      <c r="B406" s="8" t="str">
        <f>IF(A406&lt;='Characteristics&amp;Parameters'!$B$17,'Characteristics&amp;Parameters'!$B$7,IF(ConcentrationsCalculations!A406="DS Node",'Characteristics&amp;Parameters'!$B$8,""))</f>
        <v/>
      </c>
      <c r="C406" s="8"/>
      <c r="E406" s="7" t="s">
        <v>25</v>
      </c>
      <c r="F406" s="8" t="s">
        <v>25</v>
      </c>
      <c r="I406" s="7" t="str">
        <f>IF(I405&lt;'Characteristics&amp;Parameters'!$B$17,ConcentrationsCalculations!I405+1,IF(I405="DS Node","",IF(I405="","","DS Node")))</f>
        <v/>
      </c>
      <c r="J406" s="13" t="str">
        <f>IF(I406="DS Node",'Characteristics&amp;Parameters'!$B$8,IF(I406&lt;='Characteristics&amp;Parameters'!$B$17,((1-'Characteristics&amp;Parameters'!$B$19)*ConcentrationsCalculations!F406+'Characteristics&amp;Parameters'!$B$19*ConcentrationsCalculations!F405-F406/86400*'Characteristics&amp;Parameters'!$B$11*'Characteristics&amp;Parameters'!$B$12),""))</f>
        <v/>
      </c>
    </row>
    <row r="407" spans="1:10" x14ac:dyDescent="0.5">
      <c r="A407" s="7" t="str">
        <f>IF(A406&lt;'Characteristics&amp;Parameters'!$B$17,ConcentrationsCalculations!A406+1,IF(A406="DS Node","",IF(A406="","","DS Node")))</f>
        <v/>
      </c>
      <c r="B407" s="8" t="str">
        <f>IF(A407&lt;='Characteristics&amp;Parameters'!$B$17,'Characteristics&amp;Parameters'!$B$7,IF(ConcentrationsCalculations!A407="DS Node",'Characteristics&amp;Parameters'!$B$8,""))</f>
        <v/>
      </c>
      <c r="C407" s="8"/>
      <c r="E407" s="7" t="s">
        <v>25</v>
      </c>
      <c r="F407" s="8" t="s">
        <v>25</v>
      </c>
      <c r="I407" s="7" t="str">
        <f>IF(I406&lt;'Characteristics&amp;Parameters'!$B$17,ConcentrationsCalculations!I406+1,IF(I406="DS Node","",IF(I406="","","DS Node")))</f>
        <v/>
      </c>
      <c r="J407" s="13" t="str">
        <f>IF(I407="DS Node",'Characteristics&amp;Parameters'!$B$8,IF(I407&lt;='Characteristics&amp;Parameters'!$B$17,((1-'Characteristics&amp;Parameters'!$B$19)*ConcentrationsCalculations!F407+'Characteristics&amp;Parameters'!$B$19*ConcentrationsCalculations!F406-F407/86400*'Characteristics&amp;Parameters'!$B$11*'Characteristics&amp;Parameters'!$B$12),""))</f>
        <v/>
      </c>
    </row>
    <row r="408" spans="1:10" x14ac:dyDescent="0.5">
      <c r="A408" s="7" t="str">
        <f>IF(A407&lt;'Characteristics&amp;Parameters'!$B$17,ConcentrationsCalculations!A407+1,IF(A407="DS Node","",IF(A407="","","DS Node")))</f>
        <v/>
      </c>
      <c r="B408" s="8" t="str">
        <f>IF(A408&lt;='Characteristics&amp;Parameters'!$B$17,'Characteristics&amp;Parameters'!$B$7,IF(ConcentrationsCalculations!A408="DS Node",'Characteristics&amp;Parameters'!$B$8,""))</f>
        <v/>
      </c>
      <c r="C408" s="8"/>
      <c r="E408" s="7" t="s">
        <v>25</v>
      </c>
      <c r="F408" s="8" t="s">
        <v>25</v>
      </c>
      <c r="I408" s="7" t="str">
        <f>IF(I407&lt;'Characteristics&amp;Parameters'!$B$17,ConcentrationsCalculations!I407+1,IF(I407="DS Node","",IF(I407="","","DS Node")))</f>
        <v/>
      </c>
      <c r="J408" s="13" t="str">
        <f>IF(I408="DS Node",'Characteristics&amp;Parameters'!$B$8,IF(I408&lt;='Characteristics&amp;Parameters'!$B$17,((1-'Characteristics&amp;Parameters'!$B$19)*ConcentrationsCalculations!F408+'Characteristics&amp;Parameters'!$B$19*ConcentrationsCalculations!F407-F408/86400*'Characteristics&amp;Parameters'!$B$11*'Characteristics&amp;Parameters'!$B$12),""))</f>
        <v/>
      </c>
    </row>
    <row r="409" spans="1:10" x14ac:dyDescent="0.5">
      <c r="A409" s="7" t="str">
        <f>IF(A408&lt;'Characteristics&amp;Parameters'!$B$17,ConcentrationsCalculations!A408+1,IF(A408="DS Node","",IF(A408="","","DS Node")))</f>
        <v/>
      </c>
      <c r="B409" s="8" t="str">
        <f>IF(A409&lt;='Characteristics&amp;Parameters'!$B$17,'Characteristics&amp;Parameters'!$B$7,IF(ConcentrationsCalculations!A409="DS Node",'Characteristics&amp;Parameters'!$B$8,""))</f>
        <v/>
      </c>
      <c r="C409" s="8"/>
      <c r="E409" s="7" t="s">
        <v>25</v>
      </c>
      <c r="F409" s="8" t="s">
        <v>25</v>
      </c>
      <c r="I409" s="7" t="str">
        <f>IF(I408&lt;'Characteristics&amp;Parameters'!$B$17,ConcentrationsCalculations!I408+1,IF(I408="DS Node","",IF(I408="","","DS Node")))</f>
        <v/>
      </c>
      <c r="J409" s="13" t="str">
        <f>IF(I409="DS Node",'Characteristics&amp;Parameters'!$B$8,IF(I409&lt;='Characteristics&amp;Parameters'!$B$17,((1-'Characteristics&amp;Parameters'!$B$19)*ConcentrationsCalculations!F409+'Characteristics&amp;Parameters'!$B$19*ConcentrationsCalculations!F408-F409/86400*'Characteristics&amp;Parameters'!$B$11*'Characteristics&amp;Parameters'!$B$12),""))</f>
        <v/>
      </c>
    </row>
    <row r="410" spans="1:10" x14ac:dyDescent="0.5">
      <c r="A410" s="7" t="str">
        <f>IF(A409&lt;'Characteristics&amp;Parameters'!$B$17,ConcentrationsCalculations!A409+1,IF(A409="DS Node","",IF(A409="","","DS Node")))</f>
        <v/>
      </c>
      <c r="B410" s="8" t="str">
        <f>IF(A410&lt;='Characteristics&amp;Parameters'!$B$17,'Characteristics&amp;Parameters'!$B$7,IF(ConcentrationsCalculations!A410="DS Node",'Characteristics&amp;Parameters'!$B$8,""))</f>
        <v/>
      </c>
      <c r="C410" s="8"/>
      <c r="E410" s="7" t="s">
        <v>25</v>
      </c>
      <c r="F410" s="8" t="s">
        <v>25</v>
      </c>
      <c r="I410" s="7" t="str">
        <f>IF(I409&lt;'Characteristics&amp;Parameters'!$B$17,ConcentrationsCalculations!I409+1,IF(I409="DS Node","",IF(I409="","","DS Node")))</f>
        <v/>
      </c>
      <c r="J410" s="13" t="str">
        <f>IF(I410="DS Node",'Characteristics&amp;Parameters'!$B$8,IF(I410&lt;='Characteristics&amp;Parameters'!$B$17,((1-'Characteristics&amp;Parameters'!$B$19)*ConcentrationsCalculations!F410+'Characteristics&amp;Parameters'!$B$19*ConcentrationsCalculations!F409-F410/86400*'Characteristics&amp;Parameters'!$B$11*'Characteristics&amp;Parameters'!$B$12),""))</f>
        <v/>
      </c>
    </row>
    <row r="411" spans="1:10" x14ac:dyDescent="0.5">
      <c r="A411" s="7" t="str">
        <f>IF(A410&lt;'Characteristics&amp;Parameters'!$B$17,ConcentrationsCalculations!A410+1,IF(A410="DS Node","",IF(A410="","","DS Node")))</f>
        <v/>
      </c>
      <c r="B411" s="8" t="str">
        <f>IF(A411&lt;='Characteristics&amp;Parameters'!$B$17,'Characteristics&amp;Parameters'!$B$7,IF(ConcentrationsCalculations!A411="DS Node",'Characteristics&amp;Parameters'!$B$8,""))</f>
        <v/>
      </c>
      <c r="C411" s="8"/>
      <c r="E411" s="7" t="s">
        <v>25</v>
      </c>
      <c r="F411" s="8" t="s">
        <v>25</v>
      </c>
      <c r="I411" s="7" t="str">
        <f>IF(I410&lt;'Characteristics&amp;Parameters'!$B$17,ConcentrationsCalculations!I410+1,IF(I410="DS Node","",IF(I410="","","DS Node")))</f>
        <v/>
      </c>
      <c r="J411" s="13" t="str">
        <f>IF(I411="DS Node",'Characteristics&amp;Parameters'!$B$8,IF(I411&lt;='Characteristics&amp;Parameters'!$B$17,((1-'Characteristics&amp;Parameters'!$B$19)*ConcentrationsCalculations!F411+'Characteristics&amp;Parameters'!$B$19*ConcentrationsCalculations!F410-F411/86400*'Characteristics&amp;Parameters'!$B$11*'Characteristics&amp;Parameters'!$B$12),""))</f>
        <v/>
      </c>
    </row>
    <row r="412" spans="1:10" x14ac:dyDescent="0.5">
      <c r="A412" s="7" t="str">
        <f>IF(A411&lt;'Characteristics&amp;Parameters'!$B$17,ConcentrationsCalculations!A411+1,IF(A411="DS Node","",IF(A411="","","DS Node")))</f>
        <v/>
      </c>
      <c r="B412" s="8" t="str">
        <f>IF(A412&lt;='Characteristics&amp;Parameters'!$B$17,'Characteristics&amp;Parameters'!$B$7,IF(ConcentrationsCalculations!A412="DS Node",'Characteristics&amp;Parameters'!$B$8,""))</f>
        <v/>
      </c>
      <c r="C412" s="8"/>
      <c r="E412" s="7" t="s">
        <v>25</v>
      </c>
      <c r="F412" s="8" t="s">
        <v>25</v>
      </c>
      <c r="I412" s="7" t="str">
        <f>IF(I411&lt;'Characteristics&amp;Parameters'!$B$17,ConcentrationsCalculations!I411+1,IF(I411="DS Node","",IF(I411="","","DS Node")))</f>
        <v/>
      </c>
      <c r="J412" s="13" t="str">
        <f>IF(I412="DS Node",'Characteristics&amp;Parameters'!$B$8,IF(I412&lt;='Characteristics&amp;Parameters'!$B$17,((1-'Characteristics&amp;Parameters'!$B$19)*ConcentrationsCalculations!F412+'Characteristics&amp;Parameters'!$B$19*ConcentrationsCalculations!F411-F412/86400*'Characteristics&amp;Parameters'!$B$11*'Characteristics&amp;Parameters'!$B$12),""))</f>
        <v/>
      </c>
    </row>
    <row r="413" spans="1:10" x14ac:dyDescent="0.5">
      <c r="A413" s="7" t="str">
        <f>IF(A412&lt;'Characteristics&amp;Parameters'!$B$17,ConcentrationsCalculations!A412+1,IF(A412="DS Node","",IF(A412="","","DS Node")))</f>
        <v/>
      </c>
      <c r="B413" s="8" t="str">
        <f>IF(A413&lt;='Characteristics&amp;Parameters'!$B$17,'Characteristics&amp;Parameters'!$B$7,IF(ConcentrationsCalculations!A413="DS Node",'Characteristics&amp;Parameters'!$B$8,""))</f>
        <v/>
      </c>
      <c r="C413" s="8"/>
      <c r="E413" s="7" t="s">
        <v>25</v>
      </c>
      <c r="F413" s="8" t="s">
        <v>25</v>
      </c>
      <c r="I413" s="7" t="str">
        <f>IF(I412&lt;'Characteristics&amp;Parameters'!$B$17,ConcentrationsCalculations!I412+1,IF(I412="DS Node","",IF(I412="","","DS Node")))</f>
        <v/>
      </c>
      <c r="J413" s="13" t="str">
        <f>IF(I413="DS Node",'Characteristics&amp;Parameters'!$B$8,IF(I413&lt;='Characteristics&amp;Parameters'!$B$17,((1-'Characteristics&amp;Parameters'!$B$19)*ConcentrationsCalculations!F413+'Characteristics&amp;Parameters'!$B$19*ConcentrationsCalculations!F412-F413/86400*'Characteristics&amp;Parameters'!$B$11*'Characteristics&amp;Parameters'!$B$12),""))</f>
        <v/>
      </c>
    </row>
    <row r="414" spans="1:10" x14ac:dyDescent="0.5">
      <c r="A414" s="7" t="str">
        <f>IF(A413&lt;'Characteristics&amp;Parameters'!$B$17,ConcentrationsCalculations!A413+1,IF(A413="DS Node","",IF(A413="","","DS Node")))</f>
        <v/>
      </c>
      <c r="B414" s="8" t="str">
        <f>IF(A414&lt;='Characteristics&amp;Parameters'!$B$17,'Characteristics&amp;Parameters'!$B$7,IF(ConcentrationsCalculations!A414="DS Node",'Characteristics&amp;Parameters'!$B$8,""))</f>
        <v/>
      </c>
      <c r="C414" s="8"/>
      <c r="E414" s="7" t="s">
        <v>25</v>
      </c>
      <c r="F414" s="8" t="s">
        <v>25</v>
      </c>
      <c r="I414" s="7" t="str">
        <f>IF(I413&lt;'Characteristics&amp;Parameters'!$B$17,ConcentrationsCalculations!I413+1,IF(I413="DS Node","",IF(I413="","","DS Node")))</f>
        <v/>
      </c>
      <c r="J414" s="13" t="str">
        <f>IF(I414="DS Node",'Characteristics&amp;Parameters'!$B$8,IF(I414&lt;='Characteristics&amp;Parameters'!$B$17,((1-'Characteristics&amp;Parameters'!$B$19)*ConcentrationsCalculations!F414+'Characteristics&amp;Parameters'!$B$19*ConcentrationsCalculations!F413-F414/86400*'Characteristics&amp;Parameters'!$B$11*'Characteristics&amp;Parameters'!$B$12),""))</f>
        <v/>
      </c>
    </row>
    <row r="415" spans="1:10" x14ac:dyDescent="0.5">
      <c r="A415" s="7" t="str">
        <f>IF(A414&lt;'Characteristics&amp;Parameters'!$B$17,ConcentrationsCalculations!A414+1,IF(A414="DS Node","",IF(A414="","","DS Node")))</f>
        <v/>
      </c>
      <c r="B415" s="8" t="str">
        <f>IF(A415&lt;='Characteristics&amp;Parameters'!$B$17,'Characteristics&amp;Parameters'!$B$7,IF(ConcentrationsCalculations!A415="DS Node",'Characteristics&amp;Parameters'!$B$8,""))</f>
        <v/>
      </c>
      <c r="C415" s="8"/>
      <c r="E415" s="7" t="s">
        <v>25</v>
      </c>
      <c r="F415" s="8" t="s">
        <v>25</v>
      </c>
      <c r="I415" s="7" t="str">
        <f>IF(I414&lt;'Characteristics&amp;Parameters'!$B$17,ConcentrationsCalculations!I414+1,IF(I414="DS Node","",IF(I414="","","DS Node")))</f>
        <v/>
      </c>
      <c r="J415" s="13" t="str">
        <f>IF(I415="DS Node",'Characteristics&amp;Parameters'!$B$8,IF(I415&lt;='Characteristics&amp;Parameters'!$B$17,((1-'Characteristics&amp;Parameters'!$B$19)*ConcentrationsCalculations!F415+'Characteristics&amp;Parameters'!$B$19*ConcentrationsCalculations!F414-F415/86400*'Characteristics&amp;Parameters'!$B$11*'Characteristics&amp;Parameters'!$B$12),""))</f>
        <v/>
      </c>
    </row>
    <row r="416" spans="1:10" x14ac:dyDescent="0.5">
      <c r="A416" s="7" t="str">
        <f>IF(A415&lt;'Characteristics&amp;Parameters'!$B$17,ConcentrationsCalculations!A415+1,IF(A415="DS Node","",IF(A415="","","DS Node")))</f>
        <v/>
      </c>
      <c r="B416" s="8" t="str">
        <f>IF(A416&lt;='Characteristics&amp;Parameters'!$B$17,'Characteristics&amp;Parameters'!$B$7,IF(ConcentrationsCalculations!A416="DS Node",'Characteristics&amp;Parameters'!$B$8,""))</f>
        <v/>
      </c>
      <c r="C416" s="8"/>
      <c r="E416" s="7" t="s">
        <v>25</v>
      </c>
      <c r="F416" s="8" t="s">
        <v>25</v>
      </c>
      <c r="I416" s="7" t="str">
        <f>IF(I415&lt;'Characteristics&amp;Parameters'!$B$17,ConcentrationsCalculations!I415+1,IF(I415="DS Node","",IF(I415="","","DS Node")))</f>
        <v/>
      </c>
      <c r="J416" s="13" t="str">
        <f>IF(I416="DS Node",'Characteristics&amp;Parameters'!$B$8,IF(I416&lt;='Characteristics&amp;Parameters'!$B$17,((1-'Characteristics&amp;Parameters'!$B$19)*ConcentrationsCalculations!F416+'Characteristics&amp;Parameters'!$B$19*ConcentrationsCalculations!F415-F416/86400*'Characteristics&amp;Parameters'!$B$11*'Characteristics&amp;Parameters'!$B$12),""))</f>
        <v/>
      </c>
    </row>
    <row r="417" spans="1:10" x14ac:dyDescent="0.5">
      <c r="A417" s="7" t="str">
        <f>IF(A416&lt;'Characteristics&amp;Parameters'!$B$17,ConcentrationsCalculations!A416+1,IF(A416="DS Node","",IF(A416="","","DS Node")))</f>
        <v/>
      </c>
      <c r="B417" s="8" t="str">
        <f>IF(A417&lt;='Characteristics&amp;Parameters'!$B$17,'Characteristics&amp;Parameters'!$B$7,IF(ConcentrationsCalculations!A417="DS Node",'Characteristics&amp;Parameters'!$B$8,""))</f>
        <v/>
      </c>
      <c r="C417" s="8"/>
      <c r="E417" s="7" t="s">
        <v>25</v>
      </c>
      <c r="F417" s="8" t="s">
        <v>25</v>
      </c>
      <c r="I417" s="7" t="str">
        <f>IF(I416&lt;'Characteristics&amp;Parameters'!$B$17,ConcentrationsCalculations!I416+1,IF(I416="DS Node","",IF(I416="","","DS Node")))</f>
        <v/>
      </c>
      <c r="J417" s="13" t="str">
        <f>IF(I417="DS Node",'Characteristics&amp;Parameters'!$B$8,IF(I417&lt;='Characteristics&amp;Parameters'!$B$17,((1-'Characteristics&amp;Parameters'!$B$19)*ConcentrationsCalculations!F417+'Characteristics&amp;Parameters'!$B$19*ConcentrationsCalculations!F416-F417/86400*'Characteristics&amp;Parameters'!$B$11*'Characteristics&amp;Parameters'!$B$12),""))</f>
        <v/>
      </c>
    </row>
    <row r="418" spans="1:10" x14ac:dyDescent="0.5">
      <c r="A418" s="7" t="str">
        <f>IF(A417&lt;'Characteristics&amp;Parameters'!$B$17,ConcentrationsCalculations!A417+1,IF(A417="DS Node","",IF(A417="","","DS Node")))</f>
        <v/>
      </c>
      <c r="B418" s="8" t="str">
        <f>IF(A418&lt;='Characteristics&amp;Parameters'!$B$17,'Characteristics&amp;Parameters'!$B$7,IF(ConcentrationsCalculations!A418="DS Node",'Characteristics&amp;Parameters'!$B$8,""))</f>
        <v/>
      </c>
      <c r="C418" s="8"/>
      <c r="E418" s="7" t="s">
        <v>25</v>
      </c>
      <c r="F418" s="8" t="s">
        <v>25</v>
      </c>
      <c r="I418" s="7" t="str">
        <f>IF(I417&lt;'Characteristics&amp;Parameters'!$B$17,ConcentrationsCalculations!I417+1,IF(I417="DS Node","",IF(I417="","","DS Node")))</f>
        <v/>
      </c>
      <c r="J418" s="13" t="str">
        <f>IF(I418="DS Node",'Characteristics&amp;Parameters'!$B$8,IF(I418&lt;='Characteristics&amp;Parameters'!$B$17,((1-'Characteristics&amp;Parameters'!$B$19)*ConcentrationsCalculations!F418+'Characteristics&amp;Parameters'!$B$19*ConcentrationsCalculations!F417-F418/86400*'Characteristics&amp;Parameters'!$B$11*'Characteristics&amp;Parameters'!$B$12),""))</f>
        <v/>
      </c>
    </row>
    <row r="419" spans="1:10" x14ac:dyDescent="0.5">
      <c r="A419" s="7" t="str">
        <f>IF(A418&lt;'Characteristics&amp;Parameters'!$B$17,ConcentrationsCalculations!A418+1,IF(A418="DS Node","",IF(A418="","","DS Node")))</f>
        <v/>
      </c>
      <c r="B419" s="8" t="str">
        <f>IF(A419&lt;='Characteristics&amp;Parameters'!$B$17,'Characteristics&amp;Parameters'!$B$7,IF(ConcentrationsCalculations!A419="DS Node",'Characteristics&amp;Parameters'!$B$8,""))</f>
        <v/>
      </c>
      <c r="C419" s="8"/>
      <c r="E419" s="7" t="s">
        <v>25</v>
      </c>
      <c r="F419" s="8" t="s">
        <v>25</v>
      </c>
      <c r="I419" s="7" t="str">
        <f>IF(I418&lt;'Characteristics&amp;Parameters'!$B$17,ConcentrationsCalculations!I418+1,IF(I418="DS Node","",IF(I418="","","DS Node")))</f>
        <v/>
      </c>
      <c r="J419" s="13" t="str">
        <f>IF(I419="DS Node",'Characteristics&amp;Parameters'!$B$8,IF(I419&lt;='Characteristics&amp;Parameters'!$B$17,((1-'Characteristics&amp;Parameters'!$B$19)*ConcentrationsCalculations!F419+'Characteristics&amp;Parameters'!$B$19*ConcentrationsCalculations!F418-F419/86400*'Characteristics&amp;Parameters'!$B$11*'Characteristics&amp;Parameters'!$B$12),""))</f>
        <v/>
      </c>
    </row>
    <row r="420" spans="1:10" x14ac:dyDescent="0.5">
      <c r="A420" s="7" t="str">
        <f>IF(A419&lt;'Characteristics&amp;Parameters'!$B$17,ConcentrationsCalculations!A419+1,IF(A419="DS Node","",IF(A419="","","DS Node")))</f>
        <v/>
      </c>
      <c r="B420" s="8" t="str">
        <f>IF(A420&lt;='Characteristics&amp;Parameters'!$B$17,'Characteristics&amp;Parameters'!$B$7,IF(ConcentrationsCalculations!A420="DS Node",'Characteristics&amp;Parameters'!$B$8,""))</f>
        <v/>
      </c>
      <c r="C420" s="8"/>
      <c r="E420" s="7" t="s">
        <v>25</v>
      </c>
      <c r="F420" s="8" t="s">
        <v>25</v>
      </c>
      <c r="I420" s="7" t="str">
        <f>IF(I419&lt;'Characteristics&amp;Parameters'!$B$17,ConcentrationsCalculations!I419+1,IF(I419="DS Node","",IF(I419="","","DS Node")))</f>
        <v/>
      </c>
      <c r="J420" s="13" t="str">
        <f>IF(I420="DS Node",'Characteristics&amp;Parameters'!$B$8,IF(I420&lt;='Characteristics&amp;Parameters'!$B$17,((1-'Characteristics&amp;Parameters'!$B$19)*ConcentrationsCalculations!F420+'Characteristics&amp;Parameters'!$B$19*ConcentrationsCalculations!F419-F420/86400*'Characteristics&amp;Parameters'!$B$11*'Characteristics&amp;Parameters'!$B$12),""))</f>
        <v/>
      </c>
    </row>
    <row r="421" spans="1:10" x14ac:dyDescent="0.5">
      <c r="A421" s="7" t="str">
        <f>IF(A420&lt;'Characteristics&amp;Parameters'!$B$17,ConcentrationsCalculations!A420+1,IF(A420="DS Node","",IF(A420="","","DS Node")))</f>
        <v/>
      </c>
      <c r="B421" s="8" t="str">
        <f>IF(A421&lt;='Characteristics&amp;Parameters'!$B$17,'Characteristics&amp;Parameters'!$B$7,IF(ConcentrationsCalculations!A421="DS Node",'Characteristics&amp;Parameters'!$B$8,""))</f>
        <v/>
      </c>
      <c r="C421" s="8"/>
      <c r="E421" s="7" t="s">
        <v>25</v>
      </c>
      <c r="F421" s="8" t="s">
        <v>25</v>
      </c>
      <c r="I421" s="7" t="str">
        <f>IF(I420&lt;'Characteristics&amp;Parameters'!$B$17,ConcentrationsCalculations!I420+1,IF(I420="DS Node","",IF(I420="","","DS Node")))</f>
        <v/>
      </c>
      <c r="J421" s="13" t="str">
        <f>IF(I421="DS Node",'Characteristics&amp;Parameters'!$B$8,IF(I421&lt;='Characteristics&amp;Parameters'!$B$17,((1-'Characteristics&amp;Parameters'!$B$19)*ConcentrationsCalculations!F421+'Characteristics&amp;Parameters'!$B$19*ConcentrationsCalculations!F420-F421/86400*'Characteristics&amp;Parameters'!$B$11*'Characteristics&amp;Parameters'!$B$12),""))</f>
        <v/>
      </c>
    </row>
    <row r="422" spans="1:10" x14ac:dyDescent="0.5">
      <c r="A422" s="7" t="str">
        <f>IF(A421&lt;'Characteristics&amp;Parameters'!$B$17,ConcentrationsCalculations!A421+1,IF(A421="DS Node","",IF(A421="","","DS Node")))</f>
        <v/>
      </c>
      <c r="B422" s="8" t="str">
        <f>IF(A422&lt;='Characteristics&amp;Parameters'!$B$17,'Characteristics&amp;Parameters'!$B$7,IF(ConcentrationsCalculations!A422="DS Node",'Characteristics&amp;Parameters'!$B$8,""))</f>
        <v/>
      </c>
      <c r="C422" s="8"/>
      <c r="E422" s="7" t="s">
        <v>25</v>
      </c>
      <c r="F422" s="8" t="s">
        <v>25</v>
      </c>
      <c r="I422" s="7" t="str">
        <f>IF(I421&lt;'Characteristics&amp;Parameters'!$B$17,ConcentrationsCalculations!I421+1,IF(I421="DS Node","",IF(I421="","","DS Node")))</f>
        <v/>
      </c>
      <c r="J422" s="13" t="str">
        <f>IF(I422="DS Node",'Characteristics&amp;Parameters'!$B$8,IF(I422&lt;='Characteristics&amp;Parameters'!$B$17,((1-'Characteristics&amp;Parameters'!$B$19)*ConcentrationsCalculations!F422+'Characteristics&amp;Parameters'!$B$19*ConcentrationsCalculations!F421-F422/86400*'Characteristics&amp;Parameters'!$B$11*'Characteristics&amp;Parameters'!$B$12),""))</f>
        <v/>
      </c>
    </row>
    <row r="423" spans="1:10" x14ac:dyDescent="0.5">
      <c r="A423" s="7" t="str">
        <f>IF(A422&lt;'Characteristics&amp;Parameters'!$B$17,ConcentrationsCalculations!A422+1,IF(A422="DS Node","",IF(A422="","","DS Node")))</f>
        <v/>
      </c>
      <c r="B423" s="8" t="str">
        <f>IF(A423&lt;='Characteristics&amp;Parameters'!$B$17,'Characteristics&amp;Parameters'!$B$7,IF(ConcentrationsCalculations!A423="DS Node",'Characteristics&amp;Parameters'!$B$8,""))</f>
        <v/>
      </c>
      <c r="C423" s="8"/>
      <c r="E423" s="7" t="s">
        <v>25</v>
      </c>
      <c r="F423" s="8" t="s">
        <v>25</v>
      </c>
      <c r="I423" s="7" t="str">
        <f>IF(I422&lt;'Characteristics&amp;Parameters'!$B$17,ConcentrationsCalculations!I422+1,IF(I422="DS Node","",IF(I422="","","DS Node")))</f>
        <v/>
      </c>
      <c r="J423" s="13" t="str">
        <f>IF(I423="DS Node",'Characteristics&amp;Parameters'!$B$8,IF(I423&lt;='Characteristics&amp;Parameters'!$B$17,((1-'Characteristics&amp;Parameters'!$B$19)*ConcentrationsCalculations!F423+'Characteristics&amp;Parameters'!$B$19*ConcentrationsCalculations!F422-F423/86400*'Characteristics&amp;Parameters'!$B$11*'Characteristics&amp;Parameters'!$B$12),""))</f>
        <v/>
      </c>
    </row>
    <row r="424" spans="1:10" x14ac:dyDescent="0.5">
      <c r="A424" s="7" t="str">
        <f>IF(A423&lt;'Characteristics&amp;Parameters'!$B$17,ConcentrationsCalculations!A423+1,IF(A423="DS Node","",IF(A423="","","DS Node")))</f>
        <v/>
      </c>
      <c r="B424" s="8" t="str">
        <f>IF(A424&lt;='Characteristics&amp;Parameters'!$B$17,'Characteristics&amp;Parameters'!$B$7,IF(ConcentrationsCalculations!A424="DS Node",'Characteristics&amp;Parameters'!$B$8,""))</f>
        <v/>
      </c>
      <c r="C424" s="8"/>
      <c r="E424" s="7" t="s">
        <v>25</v>
      </c>
      <c r="F424" s="8" t="s">
        <v>25</v>
      </c>
      <c r="I424" s="7" t="str">
        <f>IF(I423&lt;'Characteristics&amp;Parameters'!$B$17,ConcentrationsCalculations!I423+1,IF(I423="DS Node","",IF(I423="","","DS Node")))</f>
        <v/>
      </c>
      <c r="J424" s="13" t="str">
        <f>IF(I424="DS Node",'Characteristics&amp;Parameters'!$B$8,IF(I424&lt;='Characteristics&amp;Parameters'!$B$17,((1-'Characteristics&amp;Parameters'!$B$19)*ConcentrationsCalculations!F424+'Characteristics&amp;Parameters'!$B$19*ConcentrationsCalculations!F423-F424/86400*'Characteristics&amp;Parameters'!$B$11*'Characteristics&amp;Parameters'!$B$12),""))</f>
        <v/>
      </c>
    </row>
    <row r="425" spans="1:10" x14ac:dyDescent="0.5">
      <c r="A425" s="7" t="str">
        <f>IF(A424&lt;'Characteristics&amp;Parameters'!$B$17,ConcentrationsCalculations!A424+1,IF(A424="DS Node","",IF(A424="","","DS Node")))</f>
        <v/>
      </c>
      <c r="B425" s="8" t="str">
        <f>IF(A425&lt;='Characteristics&amp;Parameters'!$B$17,'Characteristics&amp;Parameters'!$B$7,IF(ConcentrationsCalculations!A425="DS Node",'Characteristics&amp;Parameters'!$B$8,""))</f>
        <v/>
      </c>
      <c r="C425" s="8"/>
      <c r="E425" s="7" t="s">
        <v>25</v>
      </c>
      <c r="F425" s="8" t="s">
        <v>25</v>
      </c>
      <c r="I425" s="7" t="str">
        <f>IF(I424&lt;'Characteristics&amp;Parameters'!$B$17,ConcentrationsCalculations!I424+1,IF(I424="DS Node","",IF(I424="","","DS Node")))</f>
        <v/>
      </c>
      <c r="J425" s="13" t="str">
        <f>IF(I425="DS Node",'Characteristics&amp;Parameters'!$B$8,IF(I425&lt;='Characteristics&amp;Parameters'!$B$17,((1-'Characteristics&amp;Parameters'!$B$19)*ConcentrationsCalculations!F425+'Characteristics&amp;Parameters'!$B$19*ConcentrationsCalculations!F424-F425/86400*'Characteristics&amp;Parameters'!$B$11*'Characteristics&amp;Parameters'!$B$12),""))</f>
        <v/>
      </c>
    </row>
    <row r="426" spans="1:10" x14ac:dyDescent="0.5">
      <c r="A426" s="7" t="str">
        <f>IF(A425&lt;'Characteristics&amp;Parameters'!$B$17,ConcentrationsCalculations!A425+1,IF(A425="DS Node","",IF(A425="","","DS Node")))</f>
        <v/>
      </c>
      <c r="B426" s="8" t="str">
        <f>IF(A426&lt;='Characteristics&amp;Parameters'!$B$17,'Characteristics&amp;Parameters'!$B$7,IF(ConcentrationsCalculations!A426="DS Node",'Characteristics&amp;Parameters'!$B$8,""))</f>
        <v/>
      </c>
      <c r="C426" s="8"/>
      <c r="E426" s="7" t="s">
        <v>25</v>
      </c>
      <c r="F426" s="8" t="s">
        <v>25</v>
      </c>
      <c r="I426" s="7" t="str">
        <f>IF(I425&lt;'Characteristics&amp;Parameters'!$B$17,ConcentrationsCalculations!I425+1,IF(I425="DS Node","",IF(I425="","","DS Node")))</f>
        <v/>
      </c>
      <c r="J426" s="13" t="str">
        <f>IF(I426="DS Node",'Characteristics&amp;Parameters'!$B$8,IF(I426&lt;='Characteristics&amp;Parameters'!$B$17,((1-'Characteristics&amp;Parameters'!$B$19)*ConcentrationsCalculations!F426+'Characteristics&amp;Parameters'!$B$19*ConcentrationsCalculations!F425-F426/86400*'Characteristics&amp;Parameters'!$B$11*'Characteristics&amp;Parameters'!$B$12),""))</f>
        <v/>
      </c>
    </row>
    <row r="427" spans="1:10" x14ac:dyDescent="0.5">
      <c r="A427" s="7" t="str">
        <f>IF(A426&lt;'Characteristics&amp;Parameters'!$B$17,ConcentrationsCalculations!A426+1,IF(A426="DS Node","",IF(A426="","","DS Node")))</f>
        <v/>
      </c>
      <c r="B427" s="8" t="str">
        <f>IF(A427&lt;='Characteristics&amp;Parameters'!$B$17,'Characteristics&amp;Parameters'!$B$7,IF(ConcentrationsCalculations!A427="DS Node",'Characteristics&amp;Parameters'!$B$8,""))</f>
        <v/>
      </c>
      <c r="C427" s="8"/>
      <c r="E427" s="7" t="s">
        <v>25</v>
      </c>
      <c r="F427" s="8" t="s">
        <v>25</v>
      </c>
      <c r="I427" s="7" t="str">
        <f>IF(I426&lt;'Characteristics&amp;Parameters'!$B$17,ConcentrationsCalculations!I426+1,IF(I426="DS Node","",IF(I426="","","DS Node")))</f>
        <v/>
      </c>
      <c r="J427" s="13" t="str">
        <f>IF(I427="DS Node",'Characteristics&amp;Parameters'!$B$8,IF(I427&lt;='Characteristics&amp;Parameters'!$B$17,((1-'Characteristics&amp;Parameters'!$B$19)*ConcentrationsCalculations!F427+'Characteristics&amp;Parameters'!$B$19*ConcentrationsCalculations!F426-F427/86400*'Characteristics&amp;Parameters'!$B$11*'Characteristics&amp;Parameters'!$B$12),""))</f>
        <v/>
      </c>
    </row>
    <row r="428" spans="1:10" x14ac:dyDescent="0.5">
      <c r="A428" s="7" t="str">
        <f>IF(A427&lt;'Characteristics&amp;Parameters'!$B$17,ConcentrationsCalculations!A427+1,IF(A427="DS Node","",IF(A427="","","DS Node")))</f>
        <v/>
      </c>
      <c r="B428" s="8" t="str">
        <f>IF(A428&lt;='Characteristics&amp;Parameters'!$B$17,'Characteristics&amp;Parameters'!$B$7,IF(ConcentrationsCalculations!A428="DS Node",'Characteristics&amp;Parameters'!$B$8,""))</f>
        <v/>
      </c>
      <c r="C428" s="8"/>
      <c r="E428" s="7" t="s">
        <v>25</v>
      </c>
      <c r="F428" s="8" t="s">
        <v>25</v>
      </c>
      <c r="I428" s="7" t="str">
        <f>IF(I427&lt;'Characteristics&amp;Parameters'!$B$17,ConcentrationsCalculations!I427+1,IF(I427="DS Node","",IF(I427="","","DS Node")))</f>
        <v/>
      </c>
      <c r="J428" s="13" t="str">
        <f>IF(I428="DS Node",'Characteristics&amp;Parameters'!$B$8,IF(I428&lt;='Characteristics&amp;Parameters'!$B$17,((1-'Characteristics&amp;Parameters'!$B$19)*ConcentrationsCalculations!F428+'Characteristics&amp;Parameters'!$B$19*ConcentrationsCalculations!F427-F428/86400*'Characteristics&amp;Parameters'!$B$11*'Characteristics&amp;Parameters'!$B$12),""))</f>
        <v/>
      </c>
    </row>
    <row r="429" spans="1:10" x14ac:dyDescent="0.5">
      <c r="A429" s="7" t="str">
        <f>IF(A428&lt;'Characteristics&amp;Parameters'!$B$17,ConcentrationsCalculations!A428+1,IF(A428="DS Node","",IF(A428="","","DS Node")))</f>
        <v/>
      </c>
      <c r="B429" s="8" t="str">
        <f>IF(A429&lt;='Characteristics&amp;Parameters'!$B$17,'Characteristics&amp;Parameters'!$B$7,IF(ConcentrationsCalculations!A429="DS Node",'Characteristics&amp;Parameters'!$B$8,""))</f>
        <v/>
      </c>
      <c r="C429" s="8"/>
      <c r="E429" s="7" t="s">
        <v>25</v>
      </c>
      <c r="F429" s="8" t="s">
        <v>25</v>
      </c>
      <c r="I429" s="7" t="str">
        <f>IF(I428&lt;'Characteristics&amp;Parameters'!$B$17,ConcentrationsCalculations!I428+1,IF(I428="DS Node","",IF(I428="","","DS Node")))</f>
        <v/>
      </c>
      <c r="J429" s="13" t="str">
        <f>IF(I429="DS Node",'Characteristics&amp;Parameters'!$B$8,IF(I429&lt;='Characteristics&amp;Parameters'!$B$17,((1-'Characteristics&amp;Parameters'!$B$19)*ConcentrationsCalculations!F429+'Characteristics&amp;Parameters'!$B$19*ConcentrationsCalculations!F428-F429/86400*'Characteristics&amp;Parameters'!$B$11*'Characteristics&amp;Parameters'!$B$12),""))</f>
        <v/>
      </c>
    </row>
    <row r="430" spans="1:10" x14ac:dyDescent="0.5">
      <c r="A430" s="7" t="str">
        <f>IF(A429&lt;'Characteristics&amp;Parameters'!$B$17,ConcentrationsCalculations!A429+1,IF(A429="DS Node","",IF(A429="","","DS Node")))</f>
        <v/>
      </c>
      <c r="B430" s="8" t="str">
        <f>IF(A430&lt;='Characteristics&amp;Parameters'!$B$17,'Characteristics&amp;Parameters'!$B$7,IF(ConcentrationsCalculations!A430="DS Node",'Characteristics&amp;Parameters'!$B$8,""))</f>
        <v/>
      </c>
      <c r="C430" s="8"/>
      <c r="E430" s="7" t="s">
        <v>25</v>
      </c>
      <c r="F430" s="8" t="s">
        <v>25</v>
      </c>
      <c r="I430" s="7" t="str">
        <f>IF(I429&lt;'Characteristics&amp;Parameters'!$B$17,ConcentrationsCalculations!I429+1,IF(I429="DS Node","",IF(I429="","","DS Node")))</f>
        <v/>
      </c>
      <c r="J430" s="13" t="str">
        <f>IF(I430="DS Node",'Characteristics&amp;Parameters'!$B$8,IF(I430&lt;='Characteristics&amp;Parameters'!$B$17,((1-'Characteristics&amp;Parameters'!$B$19)*ConcentrationsCalculations!F430+'Characteristics&amp;Parameters'!$B$19*ConcentrationsCalculations!F429-F430/86400*'Characteristics&amp;Parameters'!$B$11*'Characteristics&amp;Parameters'!$B$12),""))</f>
        <v/>
      </c>
    </row>
    <row r="431" spans="1:10" x14ac:dyDescent="0.5">
      <c r="A431" s="7" t="str">
        <f>IF(A430&lt;'Characteristics&amp;Parameters'!$B$17,ConcentrationsCalculations!A430+1,IF(A430="DS Node","",IF(A430="","","DS Node")))</f>
        <v/>
      </c>
      <c r="B431" s="8" t="str">
        <f>IF(A431&lt;='Characteristics&amp;Parameters'!$B$17,'Characteristics&amp;Parameters'!$B$7,IF(ConcentrationsCalculations!A431="DS Node",'Characteristics&amp;Parameters'!$B$8,""))</f>
        <v/>
      </c>
      <c r="C431" s="8"/>
      <c r="E431" s="7" t="s">
        <v>25</v>
      </c>
      <c r="F431" s="8" t="s">
        <v>25</v>
      </c>
      <c r="I431" s="7" t="str">
        <f>IF(I430&lt;'Characteristics&amp;Parameters'!$B$17,ConcentrationsCalculations!I430+1,IF(I430="DS Node","",IF(I430="","","DS Node")))</f>
        <v/>
      </c>
      <c r="J431" s="13" t="str">
        <f>IF(I431="DS Node",'Characteristics&amp;Parameters'!$B$8,IF(I431&lt;='Characteristics&amp;Parameters'!$B$17,((1-'Characteristics&amp;Parameters'!$B$19)*ConcentrationsCalculations!F431+'Characteristics&amp;Parameters'!$B$19*ConcentrationsCalculations!F430-F431/86400*'Characteristics&amp;Parameters'!$B$11*'Characteristics&amp;Parameters'!$B$12),""))</f>
        <v/>
      </c>
    </row>
    <row r="432" spans="1:10" x14ac:dyDescent="0.5">
      <c r="A432" s="7" t="str">
        <f>IF(A431&lt;'Characteristics&amp;Parameters'!$B$17,ConcentrationsCalculations!A431+1,IF(A431="DS Node","",IF(A431="","","DS Node")))</f>
        <v/>
      </c>
      <c r="B432" s="8" t="str">
        <f>IF(A432&lt;='Characteristics&amp;Parameters'!$B$17,'Characteristics&amp;Parameters'!$B$7,IF(ConcentrationsCalculations!A432="DS Node",'Characteristics&amp;Parameters'!$B$8,""))</f>
        <v/>
      </c>
      <c r="C432" s="8"/>
      <c r="E432" s="7" t="s">
        <v>25</v>
      </c>
      <c r="F432" s="8" t="s">
        <v>25</v>
      </c>
      <c r="I432" s="7" t="str">
        <f>IF(I431&lt;'Characteristics&amp;Parameters'!$B$17,ConcentrationsCalculations!I431+1,IF(I431="DS Node","",IF(I431="","","DS Node")))</f>
        <v/>
      </c>
      <c r="J432" s="13" t="str">
        <f>IF(I432="DS Node",'Characteristics&amp;Parameters'!$B$8,IF(I432&lt;='Characteristics&amp;Parameters'!$B$17,((1-'Characteristics&amp;Parameters'!$B$19)*ConcentrationsCalculations!F432+'Characteristics&amp;Parameters'!$B$19*ConcentrationsCalculations!F431-F432/86400*'Characteristics&amp;Parameters'!$B$11*'Characteristics&amp;Parameters'!$B$12),""))</f>
        <v/>
      </c>
    </row>
    <row r="433" spans="1:10" x14ac:dyDescent="0.5">
      <c r="A433" s="7" t="str">
        <f>IF(A432&lt;'Characteristics&amp;Parameters'!$B$17,ConcentrationsCalculations!A432+1,IF(A432="DS Node","",IF(A432="","","DS Node")))</f>
        <v/>
      </c>
      <c r="B433" s="8" t="str">
        <f>IF(A433&lt;='Characteristics&amp;Parameters'!$B$17,'Characteristics&amp;Parameters'!$B$7,IF(ConcentrationsCalculations!A433="DS Node",'Characteristics&amp;Parameters'!$B$8,""))</f>
        <v/>
      </c>
      <c r="C433" s="8"/>
      <c r="E433" s="7" t="s">
        <v>25</v>
      </c>
      <c r="F433" s="8" t="s">
        <v>25</v>
      </c>
      <c r="I433" s="7" t="str">
        <f>IF(I432&lt;'Characteristics&amp;Parameters'!$B$17,ConcentrationsCalculations!I432+1,IF(I432="DS Node","",IF(I432="","","DS Node")))</f>
        <v/>
      </c>
      <c r="J433" s="13" t="str">
        <f>IF(I433="DS Node",'Characteristics&amp;Parameters'!$B$8,IF(I433&lt;='Characteristics&amp;Parameters'!$B$17,((1-'Characteristics&amp;Parameters'!$B$19)*ConcentrationsCalculations!F433+'Characteristics&amp;Parameters'!$B$19*ConcentrationsCalculations!F432-F433/86400*'Characteristics&amp;Parameters'!$B$11*'Characteristics&amp;Parameters'!$B$12),""))</f>
        <v/>
      </c>
    </row>
    <row r="434" spans="1:10" x14ac:dyDescent="0.5">
      <c r="A434" s="7" t="str">
        <f>IF(A433&lt;'Characteristics&amp;Parameters'!$B$17,ConcentrationsCalculations!A433+1,IF(A433="DS Node","",IF(A433="","","DS Node")))</f>
        <v/>
      </c>
      <c r="B434" s="8" t="str">
        <f>IF(A434&lt;='Characteristics&amp;Parameters'!$B$17,'Characteristics&amp;Parameters'!$B$7,IF(ConcentrationsCalculations!A434="DS Node",'Characteristics&amp;Parameters'!$B$8,""))</f>
        <v/>
      </c>
      <c r="C434" s="8"/>
      <c r="E434" s="7" t="s">
        <v>25</v>
      </c>
      <c r="F434" s="8" t="s">
        <v>25</v>
      </c>
      <c r="I434" s="7" t="str">
        <f>IF(I433&lt;'Characteristics&amp;Parameters'!$B$17,ConcentrationsCalculations!I433+1,IF(I433="DS Node","",IF(I433="","","DS Node")))</f>
        <v/>
      </c>
      <c r="J434" s="13" t="str">
        <f>IF(I434="DS Node",'Characteristics&amp;Parameters'!$B$8,IF(I434&lt;='Characteristics&amp;Parameters'!$B$17,((1-'Characteristics&amp;Parameters'!$B$19)*ConcentrationsCalculations!F434+'Characteristics&amp;Parameters'!$B$19*ConcentrationsCalculations!F433-F434/86400*'Characteristics&amp;Parameters'!$B$11*'Characteristics&amp;Parameters'!$B$12),""))</f>
        <v/>
      </c>
    </row>
    <row r="435" spans="1:10" x14ac:dyDescent="0.5">
      <c r="A435" s="7" t="str">
        <f>IF(A434&lt;'Characteristics&amp;Parameters'!$B$17,ConcentrationsCalculations!A434+1,IF(A434="DS Node","",IF(A434="","","DS Node")))</f>
        <v/>
      </c>
      <c r="B435" s="8" t="str">
        <f>IF(A435&lt;='Characteristics&amp;Parameters'!$B$17,'Characteristics&amp;Parameters'!$B$7,IF(ConcentrationsCalculations!A435="DS Node",'Characteristics&amp;Parameters'!$B$8,""))</f>
        <v/>
      </c>
      <c r="C435" s="8"/>
      <c r="E435" s="7" t="s">
        <v>25</v>
      </c>
      <c r="F435" s="8" t="s">
        <v>25</v>
      </c>
      <c r="I435" s="7" t="str">
        <f>IF(I434&lt;'Characteristics&amp;Parameters'!$B$17,ConcentrationsCalculations!I434+1,IF(I434="DS Node","",IF(I434="","","DS Node")))</f>
        <v/>
      </c>
      <c r="J435" s="13" t="str">
        <f>IF(I435="DS Node",'Characteristics&amp;Parameters'!$B$8,IF(I435&lt;='Characteristics&amp;Parameters'!$B$17,((1-'Characteristics&amp;Parameters'!$B$19)*ConcentrationsCalculations!F435+'Characteristics&amp;Parameters'!$B$19*ConcentrationsCalculations!F434-F435/86400*'Characteristics&amp;Parameters'!$B$11*'Characteristics&amp;Parameters'!$B$12),""))</f>
        <v/>
      </c>
    </row>
    <row r="436" spans="1:10" x14ac:dyDescent="0.5">
      <c r="A436" s="7" t="str">
        <f>IF(A435&lt;'Characteristics&amp;Parameters'!$B$17,ConcentrationsCalculations!A435+1,IF(A435="DS Node","",IF(A435="","","DS Node")))</f>
        <v/>
      </c>
      <c r="B436" s="8" t="str">
        <f>IF(A436&lt;='Characteristics&amp;Parameters'!$B$17,'Characteristics&amp;Parameters'!$B$7,IF(ConcentrationsCalculations!A436="DS Node",'Characteristics&amp;Parameters'!$B$8,""))</f>
        <v/>
      </c>
      <c r="C436" s="8"/>
      <c r="E436" s="7" t="s">
        <v>25</v>
      </c>
      <c r="F436" s="8" t="s">
        <v>25</v>
      </c>
      <c r="I436" s="7" t="str">
        <f>IF(I435&lt;'Characteristics&amp;Parameters'!$B$17,ConcentrationsCalculations!I435+1,IF(I435="DS Node","",IF(I435="","","DS Node")))</f>
        <v/>
      </c>
      <c r="J436" s="13" t="str">
        <f>IF(I436="DS Node",'Characteristics&amp;Parameters'!$B$8,IF(I436&lt;='Characteristics&amp;Parameters'!$B$17,((1-'Characteristics&amp;Parameters'!$B$19)*ConcentrationsCalculations!F436+'Characteristics&amp;Parameters'!$B$19*ConcentrationsCalculations!F435-F436/86400*'Characteristics&amp;Parameters'!$B$11*'Characteristics&amp;Parameters'!$B$12),""))</f>
        <v/>
      </c>
    </row>
    <row r="437" spans="1:10" x14ac:dyDescent="0.5">
      <c r="A437" s="7" t="str">
        <f>IF(A436&lt;'Characteristics&amp;Parameters'!$B$17,ConcentrationsCalculations!A436+1,IF(A436="DS Node","",IF(A436="","","DS Node")))</f>
        <v/>
      </c>
      <c r="B437" s="8" t="str">
        <f>IF(A437&lt;='Characteristics&amp;Parameters'!$B$17,'Characteristics&amp;Parameters'!$B$7,IF(ConcentrationsCalculations!A437="DS Node",'Characteristics&amp;Parameters'!$B$8,""))</f>
        <v/>
      </c>
      <c r="C437" s="8"/>
      <c r="E437" s="7" t="s">
        <v>25</v>
      </c>
      <c r="F437" s="8" t="s">
        <v>25</v>
      </c>
      <c r="I437" s="7" t="str">
        <f>IF(I436&lt;'Characteristics&amp;Parameters'!$B$17,ConcentrationsCalculations!I436+1,IF(I436="DS Node","",IF(I436="","","DS Node")))</f>
        <v/>
      </c>
      <c r="J437" s="13" t="str">
        <f>IF(I437="DS Node",'Characteristics&amp;Parameters'!$B$8,IF(I437&lt;='Characteristics&amp;Parameters'!$B$17,((1-'Characteristics&amp;Parameters'!$B$19)*ConcentrationsCalculations!F437+'Characteristics&amp;Parameters'!$B$19*ConcentrationsCalculations!F436-F437/86400*'Characteristics&amp;Parameters'!$B$11*'Characteristics&amp;Parameters'!$B$12),""))</f>
        <v/>
      </c>
    </row>
    <row r="438" spans="1:10" x14ac:dyDescent="0.5">
      <c r="A438" s="7" t="str">
        <f>IF(A437&lt;'Characteristics&amp;Parameters'!$B$17,ConcentrationsCalculations!A437+1,IF(A437="DS Node","",IF(A437="","","DS Node")))</f>
        <v/>
      </c>
      <c r="B438" s="8" t="str">
        <f>IF(A438&lt;='Characteristics&amp;Parameters'!$B$17,'Characteristics&amp;Parameters'!$B$7,IF(ConcentrationsCalculations!A438="DS Node",'Characteristics&amp;Parameters'!$B$8,""))</f>
        <v/>
      </c>
      <c r="C438" s="8"/>
      <c r="E438" s="7" t="s">
        <v>25</v>
      </c>
      <c r="F438" s="8" t="s">
        <v>25</v>
      </c>
      <c r="I438" s="7" t="str">
        <f>IF(I437&lt;'Characteristics&amp;Parameters'!$B$17,ConcentrationsCalculations!I437+1,IF(I437="DS Node","",IF(I437="","","DS Node")))</f>
        <v/>
      </c>
      <c r="J438" s="13" t="str">
        <f>IF(I438="DS Node",'Characteristics&amp;Parameters'!$B$8,IF(I438&lt;='Characteristics&amp;Parameters'!$B$17,((1-'Characteristics&amp;Parameters'!$B$19)*ConcentrationsCalculations!F438+'Characteristics&amp;Parameters'!$B$19*ConcentrationsCalculations!F437-F438/86400*'Characteristics&amp;Parameters'!$B$11*'Characteristics&amp;Parameters'!$B$12),""))</f>
        <v/>
      </c>
    </row>
    <row r="439" spans="1:10" x14ac:dyDescent="0.5">
      <c r="A439" s="7" t="str">
        <f>IF(A438&lt;'Characteristics&amp;Parameters'!$B$17,ConcentrationsCalculations!A438+1,IF(A438="DS Node","",IF(A438="","","DS Node")))</f>
        <v/>
      </c>
      <c r="B439" s="8" t="str">
        <f>IF(A439&lt;='Characteristics&amp;Parameters'!$B$17,'Characteristics&amp;Parameters'!$B$7,IF(ConcentrationsCalculations!A439="DS Node",'Characteristics&amp;Parameters'!$B$8,""))</f>
        <v/>
      </c>
      <c r="C439" s="8"/>
      <c r="E439" s="7" t="s">
        <v>25</v>
      </c>
      <c r="F439" s="8" t="s">
        <v>25</v>
      </c>
      <c r="I439" s="7" t="str">
        <f>IF(I438&lt;'Characteristics&amp;Parameters'!$B$17,ConcentrationsCalculations!I438+1,IF(I438="DS Node","",IF(I438="","","DS Node")))</f>
        <v/>
      </c>
      <c r="J439" s="13" t="str">
        <f>IF(I439="DS Node",'Characteristics&amp;Parameters'!$B$8,IF(I439&lt;='Characteristics&amp;Parameters'!$B$17,((1-'Characteristics&amp;Parameters'!$B$19)*ConcentrationsCalculations!F439+'Characteristics&amp;Parameters'!$B$19*ConcentrationsCalculations!F438-F439/86400*'Characteristics&amp;Parameters'!$B$11*'Characteristics&amp;Parameters'!$B$12),""))</f>
        <v/>
      </c>
    </row>
    <row r="440" spans="1:10" x14ac:dyDescent="0.5">
      <c r="A440" s="7" t="str">
        <f>IF(A439&lt;'Characteristics&amp;Parameters'!$B$17,ConcentrationsCalculations!A439+1,IF(A439="DS Node","",IF(A439="","","DS Node")))</f>
        <v/>
      </c>
      <c r="B440" s="8" t="str">
        <f>IF(A440&lt;='Characteristics&amp;Parameters'!$B$17,'Characteristics&amp;Parameters'!$B$7,IF(ConcentrationsCalculations!A440="DS Node",'Characteristics&amp;Parameters'!$B$8,""))</f>
        <v/>
      </c>
      <c r="C440" s="8"/>
      <c r="E440" s="7" t="s">
        <v>25</v>
      </c>
      <c r="F440" s="8" t="s">
        <v>25</v>
      </c>
      <c r="I440" s="7" t="str">
        <f>IF(I439&lt;'Characteristics&amp;Parameters'!$B$17,ConcentrationsCalculations!I439+1,IF(I439="DS Node","",IF(I439="","","DS Node")))</f>
        <v/>
      </c>
      <c r="J440" s="13" t="str">
        <f>IF(I440="DS Node",'Characteristics&amp;Parameters'!$B$8,IF(I440&lt;='Characteristics&amp;Parameters'!$B$17,((1-'Characteristics&amp;Parameters'!$B$19)*ConcentrationsCalculations!F440+'Characteristics&amp;Parameters'!$B$19*ConcentrationsCalculations!F439-F440/86400*'Characteristics&amp;Parameters'!$B$11*'Characteristics&amp;Parameters'!$B$12),""))</f>
        <v/>
      </c>
    </row>
    <row r="441" spans="1:10" x14ac:dyDescent="0.5">
      <c r="A441" s="7" t="str">
        <f>IF(A440&lt;'Characteristics&amp;Parameters'!$B$17,ConcentrationsCalculations!A440+1,IF(A440="DS Node","",IF(A440="","","DS Node")))</f>
        <v/>
      </c>
      <c r="B441" s="8" t="str">
        <f>IF(A441&lt;='Characteristics&amp;Parameters'!$B$17,'Characteristics&amp;Parameters'!$B$7,IF(ConcentrationsCalculations!A441="DS Node",'Characteristics&amp;Parameters'!$B$8,""))</f>
        <v/>
      </c>
      <c r="C441" s="8"/>
      <c r="E441" s="7" t="s">
        <v>25</v>
      </c>
      <c r="F441" s="8" t="s">
        <v>25</v>
      </c>
      <c r="I441" s="7" t="str">
        <f>IF(I440&lt;'Characteristics&amp;Parameters'!$B$17,ConcentrationsCalculations!I440+1,IF(I440="DS Node","",IF(I440="","","DS Node")))</f>
        <v/>
      </c>
      <c r="J441" s="13" t="str">
        <f>IF(I441="DS Node",'Characteristics&amp;Parameters'!$B$8,IF(I441&lt;='Characteristics&amp;Parameters'!$B$17,((1-'Characteristics&amp;Parameters'!$B$19)*ConcentrationsCalculations!F441+'Characteristics&amp;Parameters'!$B$19*ConcentrationsCalculations!F440-F441/86400*'Characteristics&amp;Parameters'!$B$11*'Characteristics&amp;Parameters'!$B$12),""))</f>
        <v/>
      </c>
    </row>
    <row r="442" spans="1:10" x14ac:dyDescent="0.5">
      <c r="A442" s="7" t="str">
        <f>IF(A441&lt;'Characteristics&amp;Parameters'!$B$17,ConcentrationsCalculations!A441+1,IF(A441="DS Node","",IF(A441="","","DS Node")))</f>
        <v/>
      </c>
      <c r="B442" s="8" t="str">
        <f>IF(A442&lt;='Characteristics&amp;Parameters'!$B$17,'Characteristics&amp;Parameters'!$B$7,IF(ConcentrationsCalculations!A442="DS Node",'Characteristics&amp;Parameters'!$B$8,""))</f>
        <v/>
      </c>
      <c r="C442" s="8"/>
      <c r="E442" s="7" t="s">
        <v>25</v>
      </c>
      <c r="F442" s="8" t="s">
        <v>25</v>
      </c>
      <c r="I442" s="7" t="str">
        <f>IF(I441&lt;'Characteristics&amp;Parameters'!$B$17,ConcentrationsCalculations!I441+1,IF(I441="DS Node","",IF(I441="","","DS Node")))</f>
        <v/>
      </c>
      <c r="J442" s="13" t="str">
        <f>IF(I442="DS Node",'Characteristics&amp;Parameters'!$B$8,IF(I442&lt;='Characteristics&amp;Parameters'!$B$17,((1-'Characteristics&amp;Parameters'!$B$19)*ConcentrationsCalculations!F442+'Characteristics&amp;Parameters'!$B$19*ConcentrationsCalculations!F441-F442/86400*'Characteristics&amp;Parameters'!$B$11*'Characteristics&amp;Parameters'!$B$12),""))</f>
        <v/>
      </c>
    </row>
    <row r="443" spans="1:10" x14ac:dyDescent="0.5">
      <c r="A443" s="7" t="str">
        <f>IF(A442&lt;'Characteristics&amp;Parameters'!$B$17,ConcentrationsCalculations!A442+1,IF(A442="DS Node","",IF(A442="","","DS Node")))</f>
        <v/>
      </c>
      <c r="B443" s="8" t="str">
        <f>IF(A443&lt;='Characteristics&amp;Parameters'!$B$17,'Characteristics&amp;Parameters'!$B$7,IF(ConcentrationsCalculations!A443="DS Node",'Characteristics&amp;Parameters'!$B$8,""))</f>
        <v/>
      </c>
      <c r="C443" s="8"/>
      <c r="E443" s="7" t="s">
        <v>25</v>
      </c>
      <c r="F443" s="8" t="s">
        <v>25</v>
      </c>
      <c r="I443" s="7" t="str">
        <f>IF(I442&lt;'Characteristics&amp;Parameters'!$B$17,ConcentrationsCalculations!I442+1,IF(I442="DS Node","",IF(I442="","","DS Node")))</f>
        <v/>
      </c>
      <c r="J443" s="13" t="str">
        <f>IF(I443="DS Node",'Characteristics&amp;Parameters'!$B$8,IF(I443&lt;='Characteristics&amp;Parameters'!$B$17,((1-'Characteristics&amp;Parameters'!$B$19)*ConcentrationsCalculations!F443+'Characteristics&amp;Parameters'!$B$19*ConcentrationsCalculations!F442-F443/86400*'Characteristics&amp;Parameters'!$B$11*'Characteristics&amp;Parameters'!$B$12),""))</f>
        <v/>
      </c>
    </row>
    <row r="444" spans="1:10" x14ac:dyDescent="0.5">
      <c r="A444" s="7" t="str">
        <f>IF(A443&lt;'Characteristics&amp;Parameters'!$B$17,ConcentrationsCalculations!A443+1,IF(A443="DS Node","",IF(A443="","","DS Node")))</f>
        <v/>
      </c>
      <c r="B444" s="8" t="str">
        <f>IF(A444&lt;='Characteristics&amp;Parameters'!$B$17,'Characteristics&amp;Parameters'!$B$7,IF(ConcentrationsCalculations!A444="DS Node",'Characteristics&amp;Parameters'!$B$8,""))</f>
        <v/>
      </c>
      <c r="C444" s="8"/>
      <c r="E444" s="7" t="s">
        <v>25</v>
      </c>
      <c r="F444" s="8" t="s">
        <v>25</v>
      </c>
      <c r="I444" s="7" t="str">
        <f>IF(I443&lt;'Characteristics&amp;Parameters'!$B$17,ConcentrationsCalculations!I443+1,IF(I443="DS Node","",IF(I443="","","DS Node")))</f>
        <v/>
      </c>
      <c r="J444" s="13" t="str">
        <f>IF(I444="DS Node",'Characteristics&amp;Parameters'!$B$8,IF(I444&lt;='Characteristics&amp;Parameters'!$B$17,((1-'Characteristics&amp;Parameters'!$B$19)*ConcentrationsCalculations!F444+'Characteristics&amp;Parameters'!$B$19*ConcentrationsCalculations!F443-F444/86400*'Characteristics&amp;Parameters'!$B$11*'Characteristics&amp;Parameters'!$B$12),""))</f>
        <v/>
      </c>
    </row>
    <row r="445" spans="1:10" x14ac:dyDescent="0.5">
      <c r="A445" s="7" t="str">
        <f>IF(A444&lt;'Characteristics&amp;Parameters'!$B$17,ConcentrationsCalculations!A444+1,IF(A444="DS Node","",IF(A444="","","DS Node")))</f>
        <v/>
      </c>
      <c r="B445" s="8" t="str">
        <f>IF(A445&lt;='Characteristics&amp;Parameters'!$B$17,'Characteristics&amp;Parameters'!$B$7,IF(ConcentrationsCalculations!A445="DS Node",'Characteristics&amp;Parameters'!$B$8,""))</f>
        <v/>
      </c>
      <c r="C445" s="8"/>
      <c r="E445" s="7" t="s">
        <v>25</v>
      </c>
      <c r="F445" s="8" t="s">
        <v>25</v>
      </c>
      <c r="I445" s="7" t="str">
        <f>IF(I444&lt;'Characteristics&amp;Parameters'!$B$17,ConcentrationsCalculations!I444+1,IF(I444="DS Node","",IF(I444="","","DS Node")))</f>
        <v/>
      </c>
      <c r="J445" s="13" t="str">
        <f>IF(I445="DS Node",'Characteristics&amp;Parameters'!$B$8,IF(I445&lt;='Characteristics&amp;Parameters'!$B$17,((1-'Characteristics&amp;Parameters'!$B$19)*ConcentrationsCalculations!F445+'Characteristics&amp;Parameters'!$B$19*ConcentrationsCalculations!F444-F445/86400*'Characteristics&amp;Parameters'!$B$11*'Characteristics&amp;Parameters'!$B$12),""))</f>
        <v/>
      </c>
    </row>
    <row r="446" spans="1:10" x14ac:dyDescent="0.5">
      <c r="A446" s="7" t="str">
        <f>IF(A445&lt;'Characteristics&amp;Parameters'!$B$17,ConcentrationsCalculations!A445+1,IF(A445="DS Node","",IF(A445="","","DS Node")))</f>
        <v/>
      </c>
      <c r="B446" s="8" t="str">
        <f>IF(A446&lt;='Characteristics&amp;Parameters'!$B$17,'Characteristics&amp;Parameters'!$B$7,IF(ConcentrationsCalculations!A446="DS Node",'Characteristics&amp;Parameters'!$B$8,""))</f>
        <v/>
      </c>
      <c r="C446" s="8"/>
      <c r="E446" s="7" t="s">
        <v>25</v>
      </c>
      <c r="F446" s="8" t="s">
        <v>25</v>
      </c>
      <c r="I446" s="7" t="str">
        <f>IF(I445&lt;'Characteristics&amp;Parameters'!$B$17,ConcentrationsCalculations!I445+1,IF(I445="DS Node","",IF(I445="","","DS Node")))</f>
        <v/>
      </c>
      <c r="J446" s="13" t="str">
        <f>IF(I446="DS Node",'Characteristics&amp;Parameters'!$B$8,IF(I446&lt;='Characteristics&amp;Parameters'!$B$17,((1-'Characteristics&amp;Parameters'!$B$19)*ConcentrationsCalculations!F446+'Characteristics&amp;Parameters'!$B$19*ConcentrationsCalculations!F445-F446/86400*'Characteristics&amp;Parameters'!$B$11*'Characteristics&amp;Parameters'!$B$12),""))</f>
        <v/>
      </c>
    </row>
    <row r="447" spans="1:10" x14ac:dyDescent="0.5">
      <c r="A447" s="7" t="str">
        <f>IF(A446&lt;'Characteristics&amp;Parameters'!$B$17,ConcentrationsCalculations!A446+1,IF(A446="DS Node","",IF(A446="","","DS Node")))</f>
        <v/>
      </c>
      <c r="B447" s="8" t="str">
        <f>IF(A447&lt;='Characteristics&amp;Parameters'!$B$17,'Characteristics&amp;Parameters'!$B$7,IF(ConcentrationsCalculations!A447="DS Node",'Characteristics&amp;Parameters'!$B$8,""))</f>
        <v/>
      </c>
      <c r="C447" s="8"/>
      <c r="E447" s="7" t="s">
        <v>25</v>
      </c>
      <c r="F447" s="8" t="s">
        <v>25</v>
      </c>
      <c r="I447" s="7" t="str">
        <f>IF(I446&lt;'Characteristics&amp;Parameters'!$B$17,ConcentrationsCalculations!I446+1,IF(I446="DS Node","",IF(I446="","","DS Node")))</f>
        <v/>
      </c>
      <c r="J447" s="13" t="str">
        <f>IF(I447="DS Node",'Characteristics&amp;Parameters'!$B$8,IF(I447&lt;='Characteristics&amp;Parameters'!$B$17,((1-'Characteristics&amp;Parameters'!$B$19)*ConcentrationsCalculations!F447+'Characteristics&amp;Parameters'!$B$19*ConcentrationsCalculations!F446-F447/86400*'Characteristics&amp;Parameters'!$B$11*'Characteristics&amp;Parameters'!$B$12),""))</f>
        <v/>
      </c>
    </row>
    <row r="448" spans="1:10" x14ac:dyDescent="0.5">
      <c r="A448" s="7" t="str">
        <f>IF(A447&lt;'Characteristics&amp;Parameters'!$B$17,ConcentrationsCalculations!A447+1,IF(A447="DS Node","",IF(A447="","","DS Node")))</f>
        <v/>
      </c>
      <c r="B448" s="8" t="str">
        <f>IF(A448&lt;='Characteristics&amp;Parameters'!$B$17,'Characteristics&amp;Parameters'!$B$7,IF(ConcentrationsCalculations!A448="DS Node",'Characteristics&amp;Parameters'!$B$8,""))</f>
        <v/>
      </c>
      <c r="C448" s="8"/>
      <c r="E448" s="7" t="s">
        <v>25</v>
      </c>
      <c r="F448" s="8" t="s">
        <v>25</v>
      </c>
      <c r="I448" s="7" t="str">
        <f>IF(I447&lt;'Characteristics&amp;Parameters'!$B$17,ConcentrationsCalculations!I447+1,IF(I447="DS Node","",IF(I447="","","DS Node")))</f>
        <v/>
      </c>
      <c r="J448" s="13" t="str">
        <f>IF(I448="DS Node",'Characteristics&amp;Parameters'!$B$8,IF(I448&lt;='Characteristics&amp;Parameters'!$B$17,((1-'Characteristics&amp;Parameters'!$B$19)*ConcentrationsCalculations!F448+'Characteristics&amp;Parameters'!$B$19*ConcentrationsCalculations!F447-F448/86400*'Characteristics&amp;Parameters'!$B$11*'Characteristics&amp;Parameters'!$B$12),""))</f>
        <v/>
      </c>
    </row>
    <row r="449" spans="1:10" x14ac:dyDescent="0.5">
      <c r="A449" s="7" t="str">
        <f>IF(A448&lt;'Characteristics&amp;Parameters'!$B$17,ConcentrationsCalculations!A448+1,IF(A448="DS Node","",IF(A448="","","DS Node")))</f>
        <v/>
      </c>
      <c r="B449" s="8" t="str">
        <f>IF(A449&lt;='Characteristics&amp;Parameters'!$B$17,'Characteristics&amp;Parameters'!$B$7,IF(ConcentrationsCalculations!A449="DS Node",'Characteristics&amp;Parameters'!$B$8,""))</f>
        <v/>
      </c>
      <c r="C449" s="8"/>
      <c r="E449" s="7" t="s">
        <v>25</v>
      </c>
      <c r="F449" s="8" t="s">
        <v>25</v>
      </c>
      <c r="I449" s="7" t="str">
        <f>IF(I448&lt;'Characteristics&amp;Parameters'!$B$17,ConcentrationsCalculations!I448+1,IF(I448="DS Node","",IF(I448="","","DS Node")))</f>
        <v/>
      </c>
      <c r="J449" s="13" t="str">
        <f>IF(I449="DS Node",'Characteristics&amp;Parameters'!$B$8,IF(I449&lt;='Characteristics&amp;Parameters'!$B$17,((1-'Characteristics&amp;Parameters'!$B$19)*ConcentrationsCalculations!F449+'Characteristics&amp;Parameters'!$B$19*ConcentrationsCalculations!F448-F449/86400*'Characteristics&amp;Parameters'!$B$11*'Characteristics&amp;Parameters'!$B$12),""))</f>
        <v/>
      </c>
    </row>
    <row r="450" spans="1:10" x14ac:dyDescent="0.5">
      <c r="A450" s="7" t="str">
        <f>IF(A449&lt;'Characteristics&amp;Parameters'!$B$17,ConcentrationsCalculations!A449+1,IF(A449="DS Node","",IF(A449="","","DS Node")))</f>
        <v/>
      </c>
      <c r="B450" s="8" t="str">
        <f>IF(A450&lt;='Characteristics&amp;Parameters'!$B$17,'Characteristics&amp;Parameters'!$B$7,IF(ConcentrationsCalculations!A450="DS Node",'Characteristics&amp;Parameters'!$B$8,""))</f>
        <v/>
      </c>
      <c r="C450" s="8"/>
      <c r="E450" s="7" t="s">
        <v>25</v>
      </c>
      <c r="F450" s="8" t="s">
        <v>25</v>
      </c>
      <c r="I450" s="7" t="str">
        <f>IF(I449&lt;'Characteristics&amp;Parameters'!$B$17,ConcentrationsCalculations!I449+1,IF(I449="DS Node","",IF(I449="","","DS Node")))</f>
        <v/>
      </c>
      <c r="J450" s="13" t="str">
        <f>IF(I450="DS Node",'Characteristics&amp;Parameters'!$B$8,IF(I450&lt;='Characteristics&amp;Parameters'!$B$17,((1-'Characteristics&amp;Parameters'!$B$19)*ConcentrationsCalculations!F450+'Characteristics&amp;Parameters'!$B$19*ConcentrationsCalculations!F449-F450/86400*'Characteristics&amp;Parameters'!$B$11*'Characteristics&amp;Parameters'!$B$12),""))</f>
        <v/>
      </c>
    </row>
    <row r="451" spans="1:10" x14ac:dyDescent="0.5">
      <c r="A451" s="7" t="str">
        <f>IF(A450&lt;'Characteristics&amp;Parameters'!$B$17,ConcentrationsCalculations!A450+1,IF(A450="DS Node","",IF(A450="","","DS Node")))</f>
        <v/>
      </c>
      <c r="B451" s="8" t="str">
        <f>IF(A451&lt;='Characteristics&amp;Parameters'!$B$17,'Characteristics&amp;Parameters'!$B$7,IF(ConcentrationsCalculations!A451="DS Node",'Characteristics&amp;Parameters'!$B$8,""))</f>
        <v/>
      </c>
      <c r="C451" s="8"/>
      <c r="E451" s="7" t="s">
        <v>25</v>
      </c>
      <c r="F451" s="8" t="s">
        <v>25</v>
      </c>
      <c r="I451" s="7" t="str">
        <f>IF(I450&lt;'Characteristics&amp;Parameters'!$B$17,ConcentrationsCalculations!I450+1,IF(I450="DS Node","",IF(I450="","","DS Node")))</f>
        <v/>
      </c>
      <c r="J451" s="13" t="str">
        <f>IF(I451="DS Node",'Characteristics&amp;Parameters'!$B$8,IF(I451&lt;='Characteristics&amp;Parameters'!$B$17,((1-'Characteristics&amp;Parameters'!$B$19)*ConcentrationsCalculations!F451+'Characteristics&amp;Parameters'!$B$19*ConcentrationsCalculations!F450-F451/86400*'Characteristics&amp;Parameters'!$B$11*'Characteristics&amp;Parameters'!$B$12),""))</f>
        <v/>
      </c>
    </row>
    <row r="452" spans="1:10" x14ac:dyDescent="0.5">
      <c r="A452" s="7" t="str">
        <f>IF(A451&lt;'Characteristics&amp;Parameters'!$B$17,ConcentrationsCalculations!A451+1,IF(A451="DS Node","",IF(A451="","","DS Node")))</f>
        <v/>
      </c>
      <c r="B452" s="8" t="str">
        <f>IF(A452&lt;='Characteristics&amp;Parameters'!$B$17,'Characteristics&amp;Parameters'!$B$7,IF(ConcentrationsCalculations!A452="DS Node",'Characteristics&amp;Parameters'!$B$8,""))</f>
        <v/>
      </c>
      <c r="C452" s="8"/>
      <c r="E452" s="7" t="s">
        <v>25</v>
      </c>
      <c r="F452" s="8" t="s">
        <v>25</v>
      </c>
      <c r="I452" s="7" t="str">
        <f>IF(I451&lt;'Characteristics&amp;Parameters'!$B$17,ConcentrationsCalculations!I451+1,IF(I451="DS Node","",IF(I451="","","DS Node")))</f>
        <v/>
      </c>
      <c r="J452" s="13" t="str">
        <f>IF(I452="DS Node",'Characteristics&amp;Parameters'!$B$8,IF(I452&lt;='Characteristics&amp;Parameters'!$B$17,((1-'Characteristics&amp;Parameters'!$B$19)*ConcentrationsCalculations!F452+'Characteristics&amp;Parameters'!$B$19*ConcentrationsCalculations!F451-F452/86400*'Characteristics&amp;Parameters'!$B$11*'Characteristics&amp;Parameters'!$B$12),""))</f>
        <v/>
      </c>
    </row>
    <row r="453" spans="1:10" x14ac:dyDescent="0.5">
      <c r="A453" s="7" t="str">
        <f>IF(A452&lt;'Characteristics&amp;Parameters'!$B$17,ConcentrationsCalculations!A452+1,IF(A452="DS Node","",IF(A452="","","DS Node")))</f>
        <v/>
      </c>
      <c r="B453" s="8" t="str">
        <f>IF(A453&lt;='Characteristics&amp;Parameters'!$B$17,'Characteristics&amp;Parameters'!$B$7,IF(ConcentrationsCalculations!A453="DS Node",'Characteristics&amp;Parameters'!$B$8,""))</f>
        <v/>
      </c>
      <c r="C453" s="8"/>
      <c r="E453" s="7" t="s">
        <v>25</v>
      </c>
      <c r="F453" s="8" t="s">
        <v>25</v>
      </c>
      <c r="I453" s="7" t="str">
        <f>IF(I452&lt;'Characteristics&amp;Parameters'!$B$17,ConcentrationsCalculations!I452+1,IF(I452="DS Node","",IF(I452="","","DS Node")))</f>
        <v/>
      </c>
      <c r="J453" s="13" t="str">
        <f>IF(I453="DS Node",'Characteristics&amp;Parameters'!$B$8,IF(I453&lt;='Characteristics&amp;Parameters'!$B$17,((1-'Characteristics&amp;Parameters'!$B$19)*ConcentrationsCalculations!F453+'Characteristics&amp;Parameters'!$B$19*ConcentrationsCalculations!F452-F453/86400*'Characteristics&amp;Parameters'!$B$11*'Characteristics&amp;Parameters'!$B$12),""))</f>
        <v/>
      </c>
    </row>
    <row r="454" spans="1:10" x14ac:dyDescent="0.5">
      <c r="A454" s="7" t="str">
        <f>IF(A453&lt;'Characteristics&amp;Parameters'!$B$17,ConcentrationsCalculations!A453+1,IF(A453="DS Node","",IF(A453="","","DS Node")))</f>
        <v/>
      </c>
      <c r="B454" s="8" t="str">
        <f>IF(A454&lt;='Characteristics&amp;Parameters'!$B$17,'Characteristics&amp;Parameters'!$B$7,IF(ConcentrationsCalculations!A454="DS Node",'Characteristics&amp;Parameters'!$B$8,""))</f>
        <v/>
      </c>
      <c r="C454" s="8"/>
      <c r="E454" s="7" t="s">
        <v>25</v>
      </c>
      <c r="F454" s="8" t="s">
        <v>25</v>
      </c>
      <c r="I454" s="7" t="str">
        <f>IF(I453&lt;'Characteristics&amp;Parameters'!$B$17,ConcentrationsCalculations!I453+1,IF(I453="DS Node","",IF(I453="","","DS Node")))</f>
        <v/>
      </c>
      <c r="J454" s="13" t="str">
        <f>IF(I454="DS Node",'Characteristics&amp;Parameters'!$B$8,IF(I454&lt;='Characteristics&amp;Parameters'!$B$17,((1-'Characteristics&amp;Parameters'!$B$19)*ConcentrationsCalculations!F454+'Characteristics&amp;Parameters'!$B$19*ConcentrationsCalculations!F453-F454/86400*'Characteristics&amp;Parameters'!$B$11*'Characteristics&amp;Parameters'!$B$12),""))</f>
        <v/>
      </c>
    </row>
    <row r="455" spans="1:10" x14ac:dyDescent="0.5">
      <c r="A455" s="7" t="str">
        <f>IF(A454&lt;'Characteristics&amp;Parameters'!$B$17,ConcentrationsCalculations!A454+1,IF(A454="DS Node","",IF(A454="","","DS Node")))</f>
        <v/>
      </c>
      <c r="B455" s="8" t="str">
        <f>IF(A455&lt;='Characteristics&amp;Parameters'!$B$17,'Characteristics&amp;Parameters'!$B$7,IF(ConcentrationsCalculations!A455="DS Node",'Characteristics&amp;Parameters'!$B$8,""))</f>
        <v/>
      </c>
      <c r="C455" s="8"/>
      <c r="E455" s="7" t="s">
        <v>25</v>
      </c>
      <c r="F455" s="8" t="s">
        <v>25</v>
      </c>
      <c r="I455" s="7" t="str">
        <f>IF(I454&lt;'Characteristics&amp;Parameters'!$B$17,ConcentrationsCalculations!I454+1,IF(I454="DS Node","",IF(I454="","","DS Node")))</f>
        <v/>
      </c>
      <c r="J455" s="13" t="str">
        <f>IF(I455="DS Node",'Characteristics&amp;Parameters'!$B$8,IF(I455&lt;='Characteristics&amp;Parameters'!$B$17,((1-'Characteristics&amp;Parameters'!$B$19)*ConcentrationsCalculations!F455+'Characteristics&amp;Parameters'!$B$19*ConcentrationsCalculations!F454-F455/86400*'Characteristics&amp;Parameters'!$B$11*'Characteristics&amp;Parameters'!$B$12),""))</f>
        <v/>
      </c>
    </row>
    <row r="456" spans="1:10" x14ac:dyDescent="0.5">
      <c r="A456" s="7" t="str">
        <f>IF(A455&lt;'Characteristics&amp;Parameters'!$B$17,ConcentrationsCalculations!A455+1,IF(A455="DS Node","",IF(A455="","","DS Node")))</f>
        <v/>
      </c>
      <c r="B456" s="8" t="str">
        <f>IF(A456&lt;='Characteristics&amp;Parameters'!$B$17,'Characteristics&amp;Parameters'!$B$7,IF(ConcentrationsCalculations!A456="DS Node",'Characteristics&amp;Parameters'!$B$8,""))</f>
        <v/>
      </c>
      <c r="C456" s="8"/>
      <c r="E456" s="7" t="s">
        <v>25</v>
      </c>
      <c r="F456" s="8" t="s">
        <v>25</v>
      </c>
      <c r="I456" s="7" t="str">
        <f>IF(I455&lt;'Characteristics&amp;Parameters'!$B$17,ConcentrationsCalculations!I455+1,IF(I455="DS Node","",IF(I455="","","DS Node")))</f>
        <v/>
      </c>
      <c r="J456" s="13" t="str">
        <f>IF(I456="DS Node",'Characteristics&amp;Parameters'!$B$8,IF(I456&lt;='Characteristics&amp;Parameters'!$B$17,((1-'Characteristics&amp;Parameters'!$B$19)*ConcentrationsCalculations!F456+'Characteristics&amp;Parameters'!$B$19*ConcentrationsCalculations!F455-F456/86400*'Characteristics&amp;Parameters'!$B$11*'Characteristics&amp;Parameters'!$B$12),""))</f>
        <v/>
      </c>
    </row>
    <row r="457" spans="1:10" x14ac:dyDescent="0.5">
      <c r="A457" s="7" t="str">
        <f>IF(A456&lt;'Characteristics&amp;Parameters'!$B$17,ConcentrationsCalculations!A456+1,IF(A456="DS Node","",IF(A456="","","DS Node")))</f>
        <v/>
      </c>
      <c r="B457" s="8" t="str">
        <f>IF(A457&lt;='Characteristics&amp;Parameters'!$B$17,'Characteristics&amp;Parameters'!$B$7,IF(ConcentrationsCalculations!A457="DS Node",'Characteristics&amp;Parameters'!$B$8,""))</f>
        <v/>
      </c>
      <c r="C457" s="8"/>
      <c r="E457" s="7" t="s">
        <v>25</v>
      </c>
      <c r="F457" s="8" t="s">
        <v>25</v>
      </c>
      <c r="I457" s="7" t="str">
        <f>IF(I456&lt;'Characteristics&amp;Parameters'!$B$17,ConcentrationsCalculations!I456+1,IF(I456="DS Node","",IF(I456="","","DS Node")))</f>
        <v/>
      </c>
      <c r="J457" s="13" t="str">
        <f>IF(I457="DS Node",'Characteristics&amp;Parameters'!$B$8,IF(I457&lt;='Characteristics&amp;Parameters'!$B$17,((1-'Characteristics&amp;Parameters'!$B$19)*ConcentrationsCalculations!F457+'Characteristics&amp;Parameters'!$B$19*ConcentrationsCalculations!F456-F457/86400*'Characteristics&amp;Parameters'!$B$11*'Characteristics&amp;Parameters'!$B$12),""))</f>
        <v/>
      </c>
    </row>
    <row r="458" spans="1:10" x14ac:dyDescent="0.5">
      <c r="A458" s="7" t="str">
        <f>IF(A457&lt;'Characteristics&amp;Parameters'!$B$17,ConcentrationsCalculations!A457+1,IF(A457="DS Node","",IF(A457="","","DS Node")))</f>
        <v/>
      </c>
      <c r="B458" s="8" t="str">
        <f>IF(A458&lt;='Characteristics&amp;Parameters'!$B$17,'Characteristics&amp;Parameters'!$B$7,IF(ConcentrationsCalculations!A458="DS Node",'Characteristics&amp;Parameters'!$B$8,""))</f>
        <v/>
      </c>
      <c r="C458" s="8"/>
      <c r="E458" s="7" t="s">
        <v>25</v>
      </c>
      <c r="F458" s="8" t="s">
        <v>25</v>
      </c>
      <c r="I458" s="7" t="str">
        <f>IF(I457&lt;'Characteristics&amp;Parameters'!$B$17,ConcentrationsCalculations!I457+1,IF(I457="DS Node","",IF(I457="","","DS Node")))</f>
        <v/>
      </c>
      <c r="J458" s="13" t="str">
        <f>IF(I458="DS Node",'Characteristics&amp;Parameters'!$B$8,IF(I458&lt;='Characteristics&amp;Parameters'!$B$17,((1-'Characteristics&amp;Parameters'!$B$19)*ConcentrationsCalculations!F458+'Characteristics&amp;Parameters'!$B$19*ConcentrationsCalculations!F457-F458/86400*'Characteristics&amp;Parameters'!$B$11*'Characteristics&amp;Parameters'!$B$12),""))</f>
        <v/>
      </c>
    </row>
    <row r="459" spans="1:10" x14ac:dyDescent="0.5">
      <c r="A459" s="7" t="str">
        <f>IF(A458&lt;'Characteristics&amp;Parameters'!$B$17,ConcentrationsCalculations!A458+1,IF(A458="DS Node","",IF(A458="","","DS Node")))</f>
        <v/>
      </c>
      <c r="B459" s="8" t="str">
        <f>IF(A459&lt;='Characteristics&amp;Parameters'!$B$17,'Characteristics&amp;Parameters'!$B$7,IF(ConcentrationsCalculations!A459="DS Node",'Characteristics&amp;Parameters'!$B$8,""))</f>
        <v/>
      </c>
      <c r="C459" s="8"/>
      <c r="E459" s="7" t="s">
        <v>25</v>
      </c>
      <c r="F459" s="8" t="s">
        <v>25</v>
      </c>
      <c r="I459" s="7" t="str">
        <f>IF(I458&lt;'Characteristics&amp;Parameters'!$B$17,ConcentrationsCalculations!I458+1,IF(I458="DS Node","",IF(I458="","","DS Node")))</f>
        <v/>
      </c>
      <c r="J459" s="13" t="str">
        <f>IF(I459="DS Node",'Characteristics&amp;Parameters'!$B$8,IF(I459&lt;='Characteristics&amp;Parameters'!$B$17,((1-'Characteristics&amp;Parameters'!$B$19)*ConcentrationsCalculations!F459+'Characteristics&amp;Parameters'!$B$19*ConcentrationsCalculations!F458-F459/86400*'Characteristics&amp;Parameters'!$B$11*'Characteristics&amp;Parameters'!$B$12),""))</f>
        <v/>
      </c>
    </row>
    <row r="460" spans="1:10" x14ac:dyDescent="0.5">
      <c r="A460" s="7" t="str">
        <f>IF(A459&lt;'Characteristics&amp;Parameters'!$B$17,ConcentrationsCalculations!A459+1,IF(A459="DS Node","",IF(A459="","","DS Node")))</f>
        <v/>
      </c>
      <c r="B460" s="8" t="str">
        <f>IF(A460&lt;='Characteristics&amp;Parameters'!$B$17,'Characteristics&amp;Parameters'!$B$7,IF(ConcentrationsCalculations!A460="DS Node",'Characteristics&amp;Parameters'!$B$8,""))</f>
        <v/>
      </c>
      <c r="C460" s="8"/>
      <c r="E460" s="7" t="s">
        <v>25</v>
      </c>
      <c r="F460" s="8" t="s">
        <v>25</v>
      </c>
      <c r="I460" s="7" t="str">
        <f>IF(I459&lt;'Characteristics&amp;Parameters'!$B$17,ConcentrationsCalculations!I459+1,IF(I459="DS Node","",IF(I459="","","DS Node")))</f>
        <v/>
      </c>
      <c r="J460" s="13" t="str">
        <f>IF(I460="DS Node",'Characteristics&amp;Parameters'!$B$8,IF(I460&lt;='Characteristics&amp;Parameters'!$B$17,((1-'Characteristics&amp;Parameters'!$B$19)*ConcentrationsCalculations!F460+'Characteristics&amp;Parameters'!$B$19*ConcentrationsCalculations!F459-F460/86400*'Characteristics&amp;Parameters'!$B$11*'Characteristics&amp;Parameters'!$B$12),""))</f>
        <v/>
      </c>
    </row>
    <row r="461" spans="1:10" x14ac:dyDescent="0.5">
      <c r="A461" s="7" t="str">
        <f>IF(A460&lt;'Characteristics&amp;Parameters'!$B$17,ConcentrationsCalculations!A460+1,IF(A460="DS Node","",IF(A460="","","DS Node")))</f>
        <v/>
      </c>
      <c r="B461" s="8" t="str">
        <f>IF(A461&lt;='Characteristics&amp;Parameters'!$B$17,'Characteristics&amp;Parameters'!$B$7,IF(ConcentrationsCalculations!A461="DS Node",'Characteristics&amp;Parameters'!$B$8,""))</f>
        <v/>
      </c>
      <c r="C461" s="8"/>
      <c r="E461" s="7" t="s">
        <v>25</v>
      </c>
      <c r="F461" s="8" t="s">
        <v>25</v>
      </c>
      <c r="I461" s="7" t="str">
        <f>IF(I460&lt;'Characteristics&amp;Parameters'!$B$17,ConcentrationsCalculations!I460+1,IF(I460="DS Node","",IF(I460="","","DS Node")))</f>
        <v/>
      </c>
      <c r="J461" s="13" t="str">
        <f>IF(I461="DS Node",'Characteristics&amp;Parameters'!$B$8,IF(I461&lt;='Characteristics&amp;Parameters'!$B$17,((1-'Characteristics&amp;Parameters'!$B$19)*ConcentrationsCalculations!F461+'Characteristics&amp;Parameters'!$B$19*ConcentrationsCalculations!F460-F461/86400*'Characteristics&amp;Parameters'!$B$11*'Characteristics&amp;Parameters'!$B$12),""))</f>
        <v/>
      </c>
    </row>
    <row r="462" spans="1:10" x14ac:dyDescent="0.5">
      <c r="A462" s="7" t="str">
        <f>IF(A461&lt;'Characteristics&amp;Parameters'!$B$17,ConcentrationsCalculations!A461+1,IF(A461="DS Node","",IF(A461="","","DS Node")))</f>
        <v/>
      </c>
      <c r="B462" s="8" t="str">
        <f>IF(A462&lt;='Characteristics&amp;Parameters'!$B$17,'Characteristics&amp;Parameters'!$B$7,IF(ConcentrationsCalculations!A462="DS Node",'Characteristics&amp;Parameters'!$B$8,""))</f>
        <v/>
      </c>
      <c r="C462" s="8"/>
      <c r="E462" s="7" t="s">
        <v>25</v>
      </c>
      <c r="F462" s="8" t="s">
        <v>25</v>
      </c>
      <c r="I462" s="7" t="str">
        <f>IF(I461&lt;'Characteristics&amp;Parameters'!$B$17,ConcentrationsCalculations!I461+1,IF(I461="DS Node","",IF(I461="","","DS Node")))</f>
        <v/>
      </c>
      <c r="J462" s="13" t="str">
        <f>IF(I462="DS Node",'Characteristics&amp;Parameters'!$B$8,IF(I462&lt;='Characteristics&amp;Parameters'!$B$17,((1-'Characteristics&amp;Parameters'!$B$19)*ConcentrationsCalculations!F462+'Characteristics&amp;Parameters'!$B$19*ConcentrationsCalculations!F461-F462/86400*'Characteristics&amp;Parameters'!$B$11*'Characteristics&amp;Parameters'!$B$12),""))</f>
        <v/>
      </c>
    </row>
    <row r="463" spans="1:10" x14ac:dyDescent="0.5">
      <c r="A463" s="7" t="str">
        <f>IF(A462&lt;'Characteristics&amp;Parameters'!$B$17,ConcentrationsCalculations!A462+1,IF(A462="DS Node","",IF(A462="","","DS Node")))</f>
        <v/>
      </c>
      <c r="B463" s="8" t="str">
        <f>IF(A463&lt;='Characteristics&amp;Parameters'!$B$17,'Characteristics&amp;Parameters'!$B$7,IF(ConcentrationsCalculations!A463="DS Node",'Characteristics&amp;Parameters'!$B$8,""))</f>
        <v/>
      </c>
      <c r="C463" s="8"/>
      <c r="E463" s="7" t="s">
        <v>25</v>
      </c>
      <c r="F463" s="8" t="s">
        <v>25</v>
      </c>
      <c r="I463" s="7" t="str">
        <f>IF(I462&lt;'Characteristics&amp;Parameters'!$B$17,ConcentrationsCalculations!I462+1,IF(I462="DS Node","",IF(I462="","","DS Node")))</f>
        <v/>
      </c>
      <c r="J463" s="13" t="str">
        <f>IF(I463="DS Node",'Characteristics&amp;Parameters'!$B$8,IF(I463&lt;='Characteristics&amp;Parameters'!$B$17,((1-'Characteristics&amp;Parameters'!$B$19)*ConcentrationsCalculations!F463+'Characteristics&amp;Parameters'!$B$19*ConcentrationsCalculations!F462-F463/86400*'Characteristics&amp;Parameters'!$B$11*'Characteristics&amp;Parameters'!$B$12),""))</f>
        <v/>
      </c>
    </row>
    <row r="464" spans="1:10" x14ac:dyDescent="0.5">
      <c r="A464" s="7" t="str">
        <f>IF(A463&lt;'Characteristics&amp;Parameters'!$B$17,ConcentrationsCalculations!A463+1,IF(A463="DS Node","",IF(A463="","","DS Node")))</f>
        <v/>
      </c>
      <c r="B464" s="8" t="str">
        <f>IF(A464&lt;='Characteristics&amp;Parameters'!$B$17,'Characteristics&amp;Parameters'!$B$7,IF(ConcentrationsCalculations!A464="DS Node",'Characteristics&amp;Parameters'!$B$8,""))</f>
        <v/>
      </c>
      <c r="C464" s="8"/>
      <c r="E464" s="7" t="s">
        <v>25</v>
      </c>
      <c r="F464" s="8" t="s">
        <v>25</v>
      </c>
      <c r="I464" s="7" t="str">
        <f>IF(I463&lt;'Characteristics&amp;Parameters'!$B$17,ConcentrationsCalculations!I463+1,IF(I463="DS Node","",IF(I463="","","DS Node")))</f>
        <v/>
      </c>
      <c r="J464" s="13" t="str">
        <f>IF(I464="DS Node",'Characteristics&amp;Parameters'!$B$8,IF(I464&lt;='Characteristics&amp;Parameters'!$B$17,((1-'Characteristics&amp;Parameters'!$B$19)*ConcentrationsCalculations!F464+'Characteristics&amp;Parameters'!$B$19*ConcentrationsCalculations!F463-F464/86400*'Characteristics&amp;Parameters'!$B$11*'Characteristics&amp;Parameters'!$B$12),""))</f>
        <v/>
      </c>
    </row>
    <row r="465" spans="1:10" x14ac:dyDescent="0.5">
      <c r="A465" s="7" t="str">
        <f>IF(A464&lt;'Characteristics&amp;Parameters'!$B$17,ConcentrationsCalculations!A464+1,IF(A464="DS Node","",IF(A464="","","DS Node")))</f>
        <v/>
      </c>
      <c r="B465" s="8" t="str">
        <f>IF(A465&lt;='Characteristics&amp;Parameters'!$B$17,'Characteristics&amp;Parameters'!$B$7,IF(ConcentrationsCalculations!A465="DS Node",'Characteristics&amp;Parameters'!$B$8,""))</f>
        <v/>
      </c>
      <c r="C465" s="8"/>
      <c r="E465" s="7" t="s">
        <v>25</v>
      </c>
      <c r="F465" s="8" t="s">
        <v>25</v>
      </c>
      <c r="I465" s="7" t="str">
        <f>IF(I464&lt;'Characteristics&amp;Parameters'!$B$17,ConcentrationsCalculations!I464+1,IF(I464="DS Node","",IF(I464="","","DS Node")))</f>
        <v/>
      </c>
      <c r="J465" s="13" t="str">
        <f>IF(I465="DS Node",'Characteristics&amp;Parameters'!$B$8,IF(I465&lt;='Characteristics&amp;Parameters'!$B$17,((1-'Characteristics&amp;Parameters'!$B$19)*ConcentrationsCalculations!F465+'Characteristics&amp;Parameters'!$B$19*ConcentrationsCalculations!F464-F465/86400*'Characteristics&amp;Parameters'!$B$11*'Characteristics&amp;Parameters'!$B$12),""))</f>
        <v/>
      </c>
    </row>
    <row r="466" spans="1:10" x14ac:dyDescent="0.5">
      <c r="A466" s="7" t="str">
        <f>IF(A465&lt;'Characteristics&amp;Parameters'!$B$17,ConcentrationsCalculations!A465+1,IF(A465="DS Node","",IF(A465="","","DS Node")))</f>
        <v/>
      </c>
      <c r="B466" s="8" t="str">
        <f>IF(A466&lt;='Characteristics&amp;Parameters'!$B$17,'Characteristics&amp;Parameters'!$B$7,IF(ConcentrationsCalculations!A466="DS Node",'Characteristics&amp;Parameters'!$B$8,""))</f>
        <v/>
      </c>
      <c r="C466" s="8"/>
      <c r="E466" s="7" t="s">
        <v>25</v>
      </c>
      <c r="F466" s="8" t="s">
        <v>25</v>
      </c>
      <c r="I466" s="7" t="str">
        <f>IF(I465&lt;'Characteristics&amp;Parameters'!$B$17,ConcentrationsCalculations!I465+1,IF(I465="DS Node","",IF(I465="","","DS Node")))</f>
        <v/>
      </c>
      <c r="J466" s="13" t="str">
        <f>IF(I466="DS Node",'Characteristics&amp;Parameters'!$B$8,IF(I466&lt;='Characteristics&amp;Parameters'!$B$17,((1-'Characteristics&amp;Parameters'!$B$19)*ConcentrationsCalculations!F466+'Characteristics&amp;Parameters'!$B$19*ConcentrationsCalculations!F465-F466/86400*'Characteristics&amp;Parameters'!$B$11*'Characteristics&amp;Parameters'!$B$12),""))</f>
        <v/>
      </c>
    </row>
    <row r="467" spans="1:10" x14ac:dyDescent="0.5">
      <c r="A467" s="7" t="str">
        <f>IF(A466&lt;'Characteristics&amp;Parameters'!$B$17,ConcentrationsCalculations!A466+1,IF(A466="DS Node","",IF(A466="","","DS Node")))</f>
        <v/>
      </c>
      <c r="B467" s="8" t="str">
        <f>IF(A467&lt;='Characteristics&amp;Parameters'!$B$17,'Characteristics&amp;Parameters'!$B$7,IF(ConcentrationsCalculations!A467="DS Node",'Characteristics&amp;Parameters'!$B$8,""))</f>
        <v/>
      </c>
      <c r="C467" s="8"/>
      <c r="E467" s="7" t="s">
        <v>25</v>
      </c>
      <c r="F467" s="8" t="s">
        <v>25</v>
      </c>
      <c r="I467" s="7" t="str">
        <f>IF(I466&lt;'Characteristics&amp;Parameters'!$B$17,ConcentrationsCalculations!I466+1,IF(I466="DS Node","",IF(I466="","","DS Node")))</f>
        <v/>
      </c>
      <c r="J467" s="13" t="str">
        <f>IF(I467="DS Node",'Characteristics&amp;Parameters'!$B$8,IF(I467&lt;='Characteristics&amp;Parameters'!$B$17,((1-'Characteristics&amp;Parameters'!$B$19)*ConcentrationsCalculations!F467+'Characteristics&amp;Parameters'!$B$19*ConcentrationsCalculations!F466-F467/86400*'Characteristics&amp;Parameters'!$B$11*'Characteristics&amp;Parameters'!$B$12),""))</f>
        <v/>
      </c>
    </row>
    <row r="468" spans="1:10" x14ac:dyDescent="0.5">
      <c r="A468" s="7" t="str">
        <f>IF(A467&lt;'Characteristics&amp;Parameters'!$B$17,ConcentrationsCalculations!A467+1,IF(A467="DS Node","",IF(A467="","","DS Node")))</f>
        <v/>
      </c>
      <c r="B468" s="8" t="str">
        <f>IF(A468&lt;='Characteristics&amp;Parameters'!$B$17,'Characteristics&amp;Parameters'!$B$7,IF(ConcentrationsCalculations!A468="DS Node",'Characteristics&amp;Parameters'!$B$8,""))</f>
        <v/>
      </c>
      <c r="C468" s="8"/>
      <c r="E468" s="7" t="s">
        <v>25</v>
      </c>
      <c r="F468" s="8" t="s">
        <v>25</v>
      </c>
      <c r="I468" s="7" t="str">
        <f>IF(I467&lt;'Characteristics&amp;Parameters'!$B$17,ConcentrationsCalculations!I467+1,IF(I467="DS Node","",IF(I467="","","DS Node")))</f>
        <v/>
      </c>
      <c r="J468" s="13" t="str">
        <f>IF(I468="DS Node",'Characteristics&amp;Parameters'!$B$8,IF(I468&lt;='Characteristics&amp;Parameters'!$B$17,((1-'Characteristics&amp;Parameters'!$B$19)*ConcentrationsCalculations!F468+'Characteristics&amp;Parameters'!$B$19*ConcentrationsCalculations!F467-F468/86400*'Characteristics&amp;Parameters'!$B$11*'Characteristics&amp;Parameters'!$B$12),""))</f>
        <v/>
      </c>
    </row>
    <row r="469" spans="1:10" x14ac:dyDescent="0.5">
      <c r="A469" s="7" t="str">
        <f>IF(A468&lt;'Characteristics&amp;Parameters'!$B$17,ConcentrationsCalculations!A468+1,IF(A468="DS Node","",IF(A468="","","DS Node")))</f>
        <v/>
      </c>
      <c r="B469" s="8" t="str">
        <f>IF(A469&lt;='Characteristics&amp;Parameters'!$B$17,'Characteristics&amp;Parameters'!$B$7,IF(ConcentrationsCalculations!A469="DS Node",'Characteristics&amp;Parameters'!$B$8,""))</f>
        <v/>
      </c>
      <c r="C469" s="8"/>
      <c r="E469" s="7" t="s">
        <v>25</v>
      </c>
      <c r="F469" s="8" t="s">
        <v>25</v>
      </c>
      <c r="I469" s="7" t="str">
        <f>IF(I468&lt;'Characteristics&amp;Parameters'!$B$17,ConcentrationsCalculations!I468+1,IF(I468="DS Node","",IF(I468="","","DS Node")))</f>
        <v/>
      </c>
      <c r="J469" s="13" t="str">
        <f>IF(I469="DS Node",'Characteristics&amp;Parameters'!$B$8,IF(I469&lt;='Characteristics&amp;Parameters'!$B$17,((1-'Characteristics&amp;Parameters'!$B$19)*ConcentrationsCalculations!F469+'Characteristics&amp;Parameters'!$B$19*ConcentrationsCalculations!F468-F469/86400*'Characteristics&amp;Parameters'!$B$11*'Characteristics&amp;Parameters'!$B$12),""))</f>
        <v/>
      </c>
    </row>
    <row r="470" spans="1:10" x14ac:dyDescent="0.5">
      <c r="A470" s="7" t="str">
        <f>IF(A469&lt;'Characteristics&amp;Parameters'!$B$17,ConcentrationsCalculations!A469+1,IF(A469="DS Node","",IF(A469="","","DS Node")))</f>
        <v/>
      </c>
      <c r="B470" s="8" t="str">
        <f>IF(A470&lt;='Characteristics&amp;Parameters'!$B$17,'Characteristics&amp;Parameters'!$B$7,IF(ConcentrationsCalculations!A470="DS Node",'Characteristics&amp;Parameters'!$B$8,""))</f>
        <v/>
      </c>
      <c r="C470" s="8"/>
      <c r="E470" s="7" t="s">
        <v>25</v>
      </c>
      <c r="F470" s="8" t="s">
        <v>25</v>
      </c>
      <c r="I470" s="7" t="str">
        <f>IF(I469&lt;'Characteristics&amp;Parameters'!$B$17,ConcentrationsCalculations!I469+1,IF(I469="DS Node","",IF(I469="","","DS Node")))</f>
        <v/>
      </c>
      <c r="J470" s="13" t="str">
        <f>IF(I470="DS Node",'Characteristics&amp;Parameters'!$B$8,IF(I470&lt;='Characteristics&amp;Parameters'!$B$17,((1-'Characteristics&amp;Parameters'!$B$19)*ConcentrationsCalculations!F470+'Characteristics&amp;Parameters'!$B$19*ConcentrationsCalculations!F469-F470/86400*'Characteristics&amp;Parameters'!$B$11*'Characteristics&amp;Parameters'!$B$12),""))</f>
        <v/>
      </c>
    </row>
    <row r="471" spans="1:10" x14ac:dyDescent="0.5">
      <c r="A471" s="7" t="str">
        <f>IF(A470&lt;'Characteristics&amp;Parameters'!$B$17,ConcentrationsCalculations!A470+1,IF(A470="DS Node","",IF(A470="","","DS Node")))</f>
        <v/>
      </c>
      <c r="B471" s="8" t="str">
        <f>IF(A471&lt;='Characteristics&amp;Parameters'!$B$17,'Characteristics&amp;Parameters'!$B$7,IF(ConcentrationsCalculations!A471="DS Node",'Characteristics&amp;Parameters'!$B$8,""))</f>
        <v/>
      </c>
      <c r="C471" s="8"/>
      <c r="E471" s="7" t="s">
        <v>25</v>
      </c>
      <c r="F471" s="8" t="s">
        <v>25</v>
      </c>
      <c r="I471" s="7" t="str">
        <f>IF(I470&lt;'Characteristics&amp;Parameters'!$B$17,ConcentrationsCalculations!I470+1,IF(I470="DS Node","",IF(I470="","","DS Node")))</f>
        <v/>
      </c>
      <c r="J471" s="13" t="str">
        <f>IF(I471="DS Node",'Characteristics&amp;Parameters'!$B$8,IF(I471&lt;='Characteristics&amp;Parameters'!$B$17,((1-'Characteristics&amp;Parameters'!$B$19)*ConcentrationsCalculations!F471+'Characteristics&amp;Parameters'!$B$19*ConcentrationsCalculations!F470-F471/86400*'Characteristics&amp;Parameters'!$B$11*'Characteristics&amp;Parameters'!$B$12),""))</f>
        <v/>
      </c>
    </row>
    <row r="472" spans="1:10" x14ac:dyDescent="0.5">
      <c r="A472" s="7" t="str">
        <f>IF(A471&lt;'Characteristics&amp;Parameters'!$B$17,ConcentrationsCalculations!A471+1,IF(A471="DS Node","",IF(A471="","","DS Node")))</f>
        <v/>
      </c>
      <c r="B472" s="8" t="str">
        <f>IF(A472&lt;='Characteristics&amp;Parameters'!$B$17,'Characteristics&amp;Parameters'!$B$7,IF(ConcentrationsCalculations!A472="DS Node",'Characteristics&amp;Parameters'!$B$8,""))</f>
        <v/>
      </c>
      <c r="C472" s="8"/>
      <c r="E472" s="7" t="s">
        <v>25</v>
      </c>
      <c r="F472" s="8" t="s">
        <v>25</v>
      </c>
      <c r="I472" s="7" t="str">
        <f>IF(I471&lt;'Characteristics&amp;Parameters'!$B$17,ConcentrationsCalculations!I471+1,IF(I471="DS Node","",IF(I471="","","DS Node")))</f>
        <v/>
      </c>
      <c r="J472" s="13" t="str">
        <f>IF(I472="DS Node",'Characteristics&amp;Parameters'!$B$8,IF(I472&lt;='Characteristics&amp;Parameters'!$B$17,((1-'Characteristics&amp;Parameters'!$B$19)*ConcentrationsCalculations!F472+'Characteristics&amp;Parameters'!$B$19*ConcentrationsCalculations!F471-F472/86400*'Characteristics&amp;Parameters'!$B$11*'Characteristics&amp;Parameters'!$B$12),""))</f>
        <v/>
      </c>
    </row>
    <row r="473" spans="1:10" x14ac:dyDescent="0.5">
      <c r="A473" s="7" t="str">
        <f>IF(A472&lt;'Characteristics&amp;Parameters'!$B$17,ConcentrationsCalculations!A472+1,IF(A472="DS Node","",IF(A472="","","DS Node")))</f>
        <v/>
      </c>
      <c r="B473" s="8" t="str">
        <f>IF(A473&lt;='Characteristics&amp;Parameters'!$B$17,'Characteristics&amp;Parameters'!$B$7,IF(ConcentrationsCalculations!A473="DS Node",'Characteristics&amp;Parameters'!$B$8,""))</f>
        <v/>
      </c>
      <c r="C473" s="8"/>
      <c r="E473" s="7" t="s">
        <v>25</v>
      </c>
      <c r="F473" s="8" t="s">
        <v>25</v>
      </c>
      <c r="I473" s="7" t="str">
        <f>IF(I472&lt;'Characteristics&amp;Parameters'!$B$17,ConcentrationsCalculations!I472+1,IF(I472="DS Node","",IF(I472="","","DS Node")))</f>
        <v/>
      </c>
      <c r="J473" s="13" t="str">
        <f>IF(I473="DS Node",'Characteristics&amp;Parameters'!$B$8,IF(I473&lt;='Characteristics&amp;Parameters'!$B$17,((1-'Characteristics&amp;Parameters'!$B$19)*ConcentrationsCalculations!F473+'Characteristics&amp;Parameters'!$B$19*ConcentrationsCalculations!F472-F473/86400*'Characteristics&amp;Parameters'!$B$11*'Characteristics&amp;Parameters'!$B$12),""))</f>
        <v/>
      </c>
    </row>
    <row r="474" spans="1:10" x14ac:dyDescent="0.5">
      <c r="A474" s="7" t="str">
        <f>IF(A473&lt;'Characteristics&amp;Parameters'!$B$17,ConcentrationsCalculations!A473+1,IF(A473="DS Node","",IF(A473="","","DS Node")))</f>
        <v/>
      </c>
      <c r="B474" s="8" t="str">
        <f>IF(A474&lt;='Characteristics&amp;Parameters'!$B$17,'Characteristics&amp;Parameters'!$B$7,IF(ConcentrationsCalculations!A474="DS Node",'Characteristics&amp;Parameters'!$B$8,""))</f>
        <v/>
      </c>
      <c r="C474" s="8"/>
      <c r="E474" s="7" t="s">
        <v>25</v>
      </c>
      <c r="F474" s="8" t="s">
        <v>25</v>
      </c>
      <c r="I474" s="7" t="str">
        <f>IF(I473&lt;'Characteristics&amp;Parameters'!$B$17,ConcentrationsCalculations!I473+1,IF(I473="DS Node","",IF(I473="","","DS Node")))</f>
        <v/>
      </c>
      <c r="J474" s="13" t="str">
        <f>IF(I474="DS Node",'Characteristics&amp;Parameters'!$B$8,IF(I474&lt;='Characteristics&amp;Parameters'!$B$17,((1-'Characteristics&amp;Parameters'!$B$19)*ConcentrationsCalculations!F474+'Characteristics&amp;Parameters'!$B$19*ConcentrationsCalculations!F473-F474/86400*'Characteristics&amp;Parameters'!$B$11*'Characteristics&amp;Parameters'!$B$12),""))</f>
        <v/>
      </c>
    </row>
    <row r="475" spans="1:10" x14ac:dyDescent="0.5">
      <c r="A475" s="7" t="str">
        <f>IF(A474&lt;'Characteristics&amp;Parameters'!$B$17,ConcentrationsCalculations!A474+1,IF(A474="DS Node","",IF(A474="","","DS Node")))</f>
        <v/>
      </c>
      <c r="B475" s="8" t="str">
        <f>IF(A475&lt;='Characteristics&amp;Parameters'!$B$17,'Characteristics&amp;Parameters'!$B$7,IF(ConcentrationsCalculations!A475="DS Node",'Characteristics&amp;Parameters'!$B$8,""))</f>
        <v/>
      </c>
      <c r="C475" s="8"/>
      <c r="E475" s="7" t="s">
        <v>25</v>
      </c>
      <c r="F475" s="8" t="s">
        <v>25</v>
      </c>
      <c r="I475" s="7" t="str">
        <f>IF(I474&lt;'Characteristics&amp;Parameters'!$B$17,ConcentrationsCalculations!I474+1,IF(I474="DS Node","",IF(I474="","","DS Node")))</f>
        <v/>
      </c>
      <c r="J475" s="13" t="str">
        <f>IF(I475="DS Node",'Characteristics&amp;Parameters'!$B$8,IF(I475&lt;='Characteristics&amp;Parameters'!$B$17,((1-'Characteristics&amp;Parameters'!$B$19)*ConcentrationsCalculations!F475+'Characteristics&amp;Parameters'!$B$19*ConcentrationsCalculations!F474-F475/86400*'Characteristics&amp;Parameters'!$B$11*'Characteristics&amp;Parameters'!$B$12),""))</f>
        <v/>
      </c>
    </row>
    <row r="476" spans="1:10" x14ac:dyDescent="0.5">
      <c r="A476" s="7" t="str">
        <f>IF(A475&lt;'Characteristics&amp;Parameters'!$B$17,ConcentrationsCalculations!A475+1,IF(A475="DS Node","",IF(A475="","","DS Node")))</f>
        <v/>
      </c>
      <c r="B476" s="8" t="str">
        <f>IF(A476&lt;='Characteristics&amp;Parameters'!$B$17,'Characteristics&amp;Parameters'!$B$7,IF(ConcentrationsCalculations!A476="DS Node",'Characteristics&amp;Parameters'!$B$8,""))</f>
        <v/>
      </c>
      <c r="C476" s="8"/>
      <c r="E476" s="7" t="s">
        <v>25</v>
      </c>
      <c r="F476" s="8" t="s">
        <v>25</v>
      </c>
      <c r="I476" s="7" t="str">
        <f>IF(I475&lt;'Characteristics&amp;Parameters'!$B$17,ConcentrationsCalculations!I475+1,IF(I475="DS Node","",IF(I475="","","DS Node")))</f>
        <v/>
      </c>
      <c r="J476" s="13" t="str">
        <f>IF(I476="DS Node",'Characteristics&amp;Parameters'!$B$8,IF(I476&lt;='Characteristics&amp;Parameters'!$B$17,((1-'Characteristics&amp;Parameters'!$B$19)*ConcentrationsCalculations!F476+'Characteristics&amp;Parameters'!$B$19*ConcentrationsCalculations!F475-F476/86400*'Characteristics&amp;Parameters'!$B$11*'Characteristics&amp;Parameters'!$B$12),""))</f>
        <v/>
      </c>
    </row>
    <row r="477" spans="1:10" x14ac:dyDescent="0.5">
      <c r="A477" s="7" t="str">
        <f>IF(A476&lt;'Characteristics&amp;Parameters'!$B$17,ConcentrationsCalculations!A476+1,IF(A476="DS Node","",IF(A476="","","DS Node")))</f>
        <v/>
      </c>
      <c r="B477" s="8" t="str">
        <f>IF(A477&lt;='Characteristics&amp;Parameters'!$B$17,'Characteristics&amp;Parameters'!$B$7,IF(ConcentrationsCalculations!A477="DS Node",'Characteristics&amp;Parameters'!$B$8,""))</f>
        <v/>
      </c>
      <c r="C477" s="8"/>
      <c r="E477" s="7" t="s">
        <v>25</v>
      </c>
      <c r="F477" s="8" t="s">
        <v>25</v>
      </c>
      <c r="I477" s="7" t="str">
        <f>IF(I476&lt;'Characteristics&amp;Parameters'!$B$17,ConcentrationsCalculations!I476+1,IF(I476="DS Node","",IF(I476="","","DS Node")))</f>
        <v/>
      </c>
      <c r="J477" s="13" t="str">
        <f>IF(I477="DS Node",'Characteristics&amp;Parameters'!$B$8,IF(I477&lt;='Characteristics&amp;Parameters'!$B$17,((1-'Characteristics&amp;Parameters'!$B$19)*ConcentrationsCalculations!F477+'Characteristics&amp;Parameters'!$B$19*ConcentrationsCalculations!F476-F477/86400*'Characteristics&amp;Parameters'!$B$11*'Characteristics&amp;Parameters'!$B$12),""))</f>
        <v/>
      </c>
    </row>
    <row r="478" spans="1:10" x14ac:dyDescent="0.5">
      <c r="A478" s="7" t="str">
        <f>IF(A477&lt;'Characteristics&amp;Parameters'!$B$17,ConcentrationsCalculations!A477+1,IF(A477="DS Node","",IF(A477="","","DS Node")))</f>
        <v/>
      </c>
      <c r="B478" s="8" t="str">
        <f>IF(A478&lt;='Characteristics&amp;Parameters'!$B$17,'Characteristics&amp;Parameters'!$B$7,IF(ConcentrationsCalculations!A478="DS Node",'Characteristics&amp;Parameters'!$B$8,""))</f>
        <v/>
      </c>
      <c r="C478" s="8"/>
      <c r="E478" s="7" t="s">
        <v>25</v>
      </c>
      <c r="F478" s="8" t="s">
        <v>25</v>
      </c>
      <c r="I478" s="7" t="str">
        <f>IF(I477&lt;'Characteristics&amp;Parameters'!$B$17,ConcentrationsCalculations!I477+1,IF(I477="DS Node","",IF(I477="","","DS Node")))</f>
        <v/>
      </c>
      <c r="J478" s="13" t="str">
        <f>IF(I478="DS Node",'Characteristics&amp;Parameters'!$B$8,IF(I478&lt;='Characteristics&amp;Parameters'!$B$17,((1-'Characteristics&amp;Parameters'!$B$19)*ConcentrationsCalculations!F478+'Characteristics&amp;Parameters'!$B$19*ConcentrationsCalculations!F477-F478/86400*'Characteristics&amp;Parameters'!$B$11*'Characteristics&amp;Parameters'!$B$12),""))</f>
        <v/>
      </c>
    </row>
    <row r="479" spans="1:10" x14ac:dyDescent="0.5">
      <c r="A479" s="7" t="str">
        <f>IF(A478&lt;'Characteristics&amp;Parameters'!$B$17,ConcentrationsCalculations!A478+1,IF(A478="DS Node","",IF(A478="","","DS Node")))</f>
        <v/>
      </c>
      <c r="B479" s="8" t="str">
        <f>IF(A479&lt;='Characteristics&amp;Parameters'!$B$17,'Characteristics&amp;Parameters'!$B$7,IF(ConcentrationsCalculations!A479="DS Node",'Characteristics&amp;Parameters'!$B$8,""))</f>
        <v/>
      </c>
      <c r="C479" s="8"/>
      <c r="E479" s="7" t="s">
        <v>25</v>
      </c>
      <c r="F479" s="8" t="s">
        <v>25</v>
      </c>
      <c r="I479" s="7" t="str">
        <f>IF(I478&lt;'Characteristics&amp;Parameters'!$B$17,ConcentrationsCalculations!I478+1,IF(I478="DS Node","",IF(I478="","","DS Node")))</f>
        <v/>
      </c>
      <c r="J479" s="13" t="str">
        <f>IF(I479="DS Node",'Characteristics&amp;Parameters'!$B$8,IF(I479&lt;='Characteristics&amp;Parameters'!$B$17,((1-'Characteristics&amp;Parameters'!$B$19)*ConcentrationsCalculations!F479+'Characteristics&amp;Parameters'!$B$19*ConcentrationsCalculations!F478-F479/86400*'Characteristics&amp;Parameters'!$B$11*'Characteristics&amp;Parameters'!$B$12),""))</f>
        <v/>
      </c>
    </row>
    <row r="480" spans="1:10" x14ac:dyDescent="0.5">
      <c r="A480" s="7" t="str">
        <f>IF(A479&lt;'Characteristics&amp;Parameters'!$B$17,ConcentrationsCalculations!A479+1,IF(A479="DS Node","",IF(A479="","","DS Node")))</f>
        <v/>
      </c>
      <c r="B480" s="8" t="str">
        <f>IF(A480&lt;='Characteristics&amp;Parameters'!$B$17,'Characteristics&amp;Parameters'!$B$7,IF(ConcentrationsCalculations!A480="DS Node",'Characteristics&amp;Parameters'!$B$8,""))</f>
        <v/>
      </c>
      <c r="C480" s="8"/>
      <c r="E480" s="7" t="s">
        <v>25</v>
      </c>
      <c r="F480" s="8" t="s">
        <v>25</v>
      </c>
      <c r="I480" s="7" t="str">
        <f>IF(I479&lt;'Characteristics&amp;Parameters'!$B$17,ConcentrationsCalculations!I479+1,IF(I479="DS Node","",IF(I479="","","DS Node")))</f>
        <v/>
      </c>
      <c r="J480" s="13" t="str">
        <f>IF(I480="DS Node",'Characteristics&amp;Parameters'!$B$8,IF(I480&lt;='Characteristics&amp;Parameters'!$B$17,((1-'Characteristics&amp;Parameters'!$B$19)*ConcentrationsCalculations!F480+'Characteristics&amp;Parameters'!$B$19*ConcentrationsCalculations!F479-F480/86400*'Characteristics&amp;Parameters'!$B$11*'Characteristics&amp;Parameters'!$B$12),""))</f>
        <v/>
      </c>
    </row>
    <row r="481" spans="1:10" x14ac:dyDescent="0.5">
      <c r="A481" s="7" t="str">
        <f>IF(A480&lt;'Characteristics&amp;Parameters'!$B$17,ConcentrationsCalculations!A480+1,IF(A480="DS Node","",IF(A480="","","DS Node")))</f>
        <v/>
      </c>
      <c r="B481" s="8" t="str">
        <f>IF(A481&lt;='Characteristics&amp;Parameters'!$B$17,'Characteristics&amp;Parameters'!$B$7,IF(ConcentrationsCalculations!A481="DS Node",'Characteristics&amp;Parameters'!$B$8,""))</f>
        <v/>
      </c>
      <c r="C481" s="8"/>
      <c r="E481" s="7" t="s">
        <v>25</v>
      </c>
      <c r="F481" s="8" t="s">
        <v>25</v>
      </c>
      <c r="I481" s="7" t="str">
        <f>IF(I480&lt;'Characteristics&amp;Parameters'!$B$17,ConcentrationsCalculations!I480+1,IF(I480="DS Node","",IF(I480="","","DS Node")))</f>
        <v/>
      </c>
      <c r="J481" s="13" t="str">
        <f>IF(I481="DS Node",'Characteristics&amp;Parameters'!$B$8,IF(I481&lt;='Characteristics&amp;Parameters'!$B$17,((1-'Characteristics&amp;Parameters'!$B$19)*ConcentrationsCalculations!F481+'Characteristics&amp;Parameters'!$B$19*ConcentrationsCalculations!F480-F481/86400*'Characteristics&amp;Parameters'!$B$11*'Characteristics&amp;Parameters'!$B$12),""))</f>
        <v/>
      </c>
    </row>
    <row r="482" spans="1:10" x14ac:dyDescent="0.5">
      <c r="A482" s="7" t="str">
        <f>IF(A481&lt;'Characteristics&amp;Parameters'!$B$17,ConcentrationsCalculations!A481+1,IF(A481="DS Node","",IF(A481="","","DS Node")))</f>
        <v/>
      </c>
      <c r="B482" s="8" t="str">
        <f>IF(A482&lt;='Characteristics&amp;Parameters'!$B$17,'Characteristics&amp;Parameters'!$B$7,IF(ConcentrationsCalculations!A482="DS Node",'Characteristics&amp;Parameters'!$B$8,""))</f>
        <v/>
      </c>
      <c r="C482" s="8"/>
      <c r="E482" s="7" t="s">
        <v>25</v>
      </c>
      <c r="F482" s="8" t="s">
        <v>25</v>
      </c>
      <c r="I482" s="7" t="str">
        <f>IF(I481&lt;'Characteristics&amp;Parameters'!$B$17,ConcentrationsCalculations!I481+1,IF(I481="DS Node","",IF(I481="","","DS Node")))</f>
        <v/>
      </c>
      <c r="J482" s="13" t="str">
        <f>IF(I482="DS Node",'Characteristics&amp;Parameters'!$B$8,IF(I482&lt;='Characteristics&amp;Parameters'!$B$17,((1-'Characteristics&amp;Parameters'!$B$19)*ConcentrationsCalculations!F482+'Characteristics&amp;Parameters'!$B$19*ConcentrationsCalculations!F481-F482/86400*'Characteristics&amp;Parameters'!$B$11*'Characteristics&amp;Parameters'!$B$12),""))</f>
        <v/>
      </c>
    </row>
    <row r="483" spans="1:10" x14ac:dyDescent="0.5">
      <c r="A483" s="7" t="str">
        <f>IF(A482&lt;'Characteristics&amp;Parameters'!$B$17,ConcentrationsCalculations!A482+1,IF(A482="DS Node","",IF(A482="","","DS Node")))</f>
        <v/>
      </c>
      <c r="B483" s="8" t="str">
        <f>IF(A483&lt;='Characteristics&amp;Parameters'!$B$17,'Characteristics&amp;Parameters'!$B$7,IF(ConcentrationsCalculations!A483="DS Node",'Characteristics&amp;Parameters'!$B$8,""))</f>
        <v/>
      </c>
      <c r="C483" s="8"/>
      <c r="E483" s="7" t="s">
        <v>25</v>
      </c>
      <c r="F483" s="8" t="s">
        <v>25</v>
      </c>
      <c r="I483" s="7" t="str">
        <f>IF(I482&lt;'Characteristics&amp;Parameters'!$B$17,ConcentrationsCalculations!I482+1,IF(I482="DS Node","",IF(I482="","","DS Node")))</f>
        <v/>
      </c>
      <c r="J483" s="13" t="str">
        <f>IF(I483="DS Node",'Characteristics&amp;Parameters'!$B$8,IF(I483&lt;='Characteristics&amp;Parameters'!$B$17,((1-'Characteristics&amp;Parameters'!$B$19)*ConcentrationsCalculations!F483+'Characteristics&amp;Parameters'!$B$19*ConcentrationsCalculations!F482-F483/86400*'Characteristics&amp;Parameters'!$B$11*'Characteristics&amp;Parameters'!$B$12),""))</f>
        <v/>
      </c>
    </row>
    <row r="484" spans="1:10" x14ac:dyDescent="0.5">
      <c r="A484" s="7" t="str">
        <f>IF(A483&lt;'Characteristics&amp;Parameters'!$B$17,ConcentrationsCalculations!A483+1,IF(A483="DS Node","",IF(A483="","","DS Node")))</f>
        <v/>
      </c>
      <c r="B484" s="8" t="str">
        <f>IF(A484&lt;='Characteristics&amp;Parameters'!$B$17,'Characteristics&amp;Parameters'!$B$7,IF(ConcentrationsCalculations!A484="DS Node",'Characteristics&amp;Parameters'!$B$8,""))</f>
        <v/>
      </c>
      <c r="C484" s="8"/>
      <c r="E484" s="7" t="s">
        <v>25</v>
      </c>
      <c r="F484" s="8" t="s">
        <v>25</v>
      </c>
      <c r="I484" s="7" t="str">
        <f>IF(I483&lt;'Characteristics&amp;Parameters'!$B$17,ConcentrationsCalculations!I483+1,IF(I483="DS Node","",IF(I483="","","DS Node")))</f>
        <v/>
      </c>
      <c r="J484" s="13" t="str">
        <f>IF(I484="DS Node",'Characteristics&amp;Parameters'!$B$8,IF(I484&lt;='Characteristics&amp;Parameters'!$B$17,((1-'Characteristics&amp;Parameters'!$B$19)*ConcentrationsCalculations!F484+'Characteristics&amp;Parameters'!$B$19*ConcentrationsCalculations!F483-F484/86400*'Characteristics&amp;Parameters'!$B$11*'Characteristics&amp;Parameters'!$B$12),""))</f>
        <v/>
      </c>
    </row>
    <row r="485" spans="1:10" x14ac:dyDescent="0.5">
      <c r="A485" s="7" t="str">
        <f>IF(A484&lt;'Characteristics&amp;Parameters'!$B$17,ConcentrationsCalculations!A484+1,IF(A484="DS Node","",IF(A484="","","DS Node")))</f>
        <v/>
      </c>
      <c r="B485" s="8" t="str">
        <f>IF(A485&lt;='Characteristics&amp;Parameters'!$B$17,'Characteristics&amp;Parameters'!$B$7,IF(ConcentrationsCalculations!A485="DS Node",'Characteristics&amp;Parameters'!$B$8,""))</f>
        <v/>
      </c>
      <c r="C485" s="8"/>
      <c r="E485" s="7" t="s">
        <v>25</v>
      </c>
      <c r="F485" s="8" t="s">
        <v>25</v>
      </c>
      <c r="I485" s="7" t="str">
        <f>IF(I484&lt;'Characteristics&amp;Parameters'!$B$17,ConcentrationsCalculations!I484+1,IF(I484="DS Node","",IF(I484="","","DS Node")))</f>
        <v/>
      </c>
      <c r="J485" s="13" t="str">
        <f>IF(I485="DS Node",'Characteristics&amp;Parameters'!$B$8,IF(I485&lt;='Characteristics&amp;Parameters'!$B$17,((1-'Characteristics&amp;Parameters'!$B$19)*ConcentrationsCalculations!F485+'Characteristics&amp;Parameters'!$B$19*ConcentrationsCalculations!F484-F485/86400*'Characteristics&amp;Parameters'!$B$11*'Characteristics&amp;Parameters'!$B$12),""))</f>
        <v/>
      </c>
    </row>
    <row r="486" spans="1:10" x14ac:dyDescent="0.5">
      <c r="A486" s="7" t="str">
        <f>IF(A485&lt;'Characteristics&amp;Parameters'!$B$17,ConcentrationsCalculations!A485+1,IF(A485="DS Node","",IF(A485="","","DS Node")))</f>
        <v/>
      </c>
      <c r="B486" s="8" t="str">
        <f>IF(A486&lt;='Characteristics&amp;Parameters'!$B$17,'Characteristics&amp;Parameters'!$B$7,IF(ConcentrationsCalculations!A486="DS Node",'Characteristics&amp;Parameters'!$B$8,""))</f>
        <v/>
      </c>
      <c r="C486" s="8"/>
      <c r="E486" s="7" t="s">
        <v>25</v>
      </c>
      <c r="F486" s="8" t="s">
        <v>25</v>
      </c>
      <c r="I486" s="7" t="str">
        <f>IF(I485&lt;'Characteristics&amp;Parameters'!$B$17,ConcentrationsCalculations!I485+1,IF(I485="DS Node","",IF(I485="","","DS Node")))</f>
        <v/>
      </c>
      <c r="J486" s="13" t="str">
        <f>IF(I486="DS Node",'Characteristics&amp;Parameters'!$B$8,IF(I486&lt;='Characteristics&amp;Parameters'!$B$17,((1-'Characteristics&amp;Parameters'!$B$19)*ConcentrationsCalculations!F486+'Characteristics&amp;Parameters'!$B$19*ConcentrationsCalculations!F485-F486/86400*'Characteristics&amp;Parameters'!$B$11*'Characteristics&amp;Parameters'!$B$12),""))</f>
        <v/>
      </c>
    </row>
    <row r="487" spans="1:10" x14ac:dyDescent="0.5">
      <c r="A487" s="7" t="str">
        <f>IF(A486&lt;'Characteristics&amp;Parameters'!$B$17,ConcentrationsCalculations!A486+1,IF(A486="DS Node","",IF(A486="","","DS Node")))</f>
        <v/>
      </c>
      <c r="B487" s="8" t="str">
        <f>IF(A487&lt;='Characteristics&amp;Parameters'!$B$17,'Characteristics&amp;Parameters'!$B$7,IF(ConcentrationsCalculations!A487="DS Node",'Characteristics&amp;Parameters'!$B$8,""))</f>
        <v/>
      </c>
      <c r="C487" s="8"/>
      <c r="E487" s="7" t="s">
        <v>25</v>
      </c>
      <c r="F487" s="8" t="s">
        <v>25</v>
      </c>
      <c r="I487" s="7" t="str">
        <f>IF(I486&lt;'Characteristics&amp;Parameters'!$B$17,ConcentrationsCalculations!I486+1,IF(I486="DS Node","",IF(I486="","","DS Node")))</f>
        <v/>
      </c>
      <c r="J487" s="13" t="str">
        <f>IF(I487="DS Node",'Characteristics&amp;Parameters'!$B$8,IF(I487&lt;='Characteristics&amp;Parameters'!$B$17,((1-'Characteristics&amp;Parameters'!$B$19)*ConcentrationsCalculations!F487+'Characteristics&amp;Parameters'!$B$19*ConcentrationsCalculations!F486-F487/86400*'Characteristics&amp;Parameters'!$B$11*'Characteristics&amp;Parameters'!$B$12),""))</f>
        <v/>
      </c>
    </row>
    <row r="488" spans="1:10" x14ac:dyDescent="0.5">
      <c r="A488" s="7" t="str">
        <f>IF(A487&lt;'Characteristics&amp;Parameters'!$B$17,ConcentrationsCalculations!A487+1,IF(A487="DS Node","",IF(A487="","","DS Node")))</f>
        <v/>
      </c>
      <c r="B488" s="8" t="str">
        <f>IF(A488&lt;='Characteristics&amp;Parameters'!$B$17,'Characteristics&amp;Parameters'!$B$7,IF(ConcentrationsCalculations!A488="DS Node",'Characteristics&amp;Parameters'!$B$8,""))</f>
        <v/>
      </c>
      <c r="C488" s="8"/>
      <c r="E488" s="7" t="s">
        <v>25</v>
      </c>
      <c r="F488" s="8" t="s">
        <v>25</v>
      </c>
      <c r="I488" s="7" t="str">
        <f>IF(I487&lt;'Characteristics&amp;Parameters'!$B$17,ConcentrationsCalculations!I487+1,IF(I487="DS Node","",IF(I487="","","DS Node")))</f>
        <v/>
      </c>
      <c r="J488" s="13" t="str">
        <f>IF(I488="DS Node",'Characteristics&amp;Parameters'!$B$8,IF(I488&lt;='Characteristics&amp;Parameters'!$B$17,((1-'Characteristics&amp;Parameters'!$B$19)*ConcentrationsCalculations!F488+'Characteristics&amp;Parameters'!$B$19*ConcentrationsCalculations!F487-F488/86400*'Characteristics&amp;Parameters'!$B$11*'Characteristics&amp;Parameters'!$B$12),""))</f>
        <v/>
      </c>
    </row>
    <row r="489" spans="1:10" x14ac:dyDescent="0.5">
      <c r="A489" s="7" t="str">
        <f>IF(A488&lt;'Characteristics&amp;Parameters'!$B$17,ConcentrationsCalculations!A488+1,IF(A488="DS Node","",IF(A488="","","DS Node")))</f>
        <v/>
      </c>
      <c r="B489" s="8" t="str">
        <f>IF(A489&lt;='Characteristics&amp;Parameters'!$B$17,'Characteristics&amp;Parameters'!$B$7,IF(ConcentrationsCalculations!A489="DS Node",'Characteristics&amp;Parameters'!$B$8,""))</f>
        <v/>
      </c>
      <c r="C489" s="8"/>
      <c r="E489" s="7" t="s">
        <v>25</v>
      </c>
      <c r="F489" s="8" t="s">
        <v>25</v>
      </c>
      <c r="I489" s="7" t="str">
        <f>IF(I488&lt;'Characteristics&amp;Parameters'!$B$17,ConcentrationsCalculations!I488+1,IF(I488="DS Node","",IF(I488="","","DS Node")))</f>
        <v/>
      </c>
      <c r="J489" s="13" t="str">
        <f>IF(I489="DS Node",'Characteristics&amp;Parameters'!$B$8,IF(I489&lt;='Characteristics&amp;Parameters'!$B$17,((1-'Characteristics&amp;Parameters'!$B$19)*ConcentrationsCalculations!F489+'Characteristics&amp;Parameters'!$B$19*ConcentrationsCalculations!F488-F489/86400*'Characteristics&amp;Parameters'!$B$11*'Characteristics&amp;Parameters'!$B$12),""))</f>
        <v/>
      </c>
    </row>
    <row r="490" spans="1:10" x14ac:dyDescent="0.5">
      <c r="A490" s="7" t="str">
        <f>IF(A489&lt;'Characteristics&amp;Parameters'!$B$17,ConcentrationsCalculations!A489+1,IF(A489="DS Node","",IF(A489="","","DS Node")))</f>
        <v/>
      </c>
      <c r="B490" s="8" t="str">
        <f>IF(A490&lt;='Characteristics&amp;Parameters'!$B$17,'Characteristics&amp;Parameters'!$B$7,IF(ConcentrationsCalculations!A490="DS Node",'Characteristics&amp;Parameters'!$B$8,""))</f>
        <v/>
      </c>
      <c r="C490" s="8"/>
      <c r="E490" s="7" t="s">
        <v>25</v>
      </c>
      <c r="F490" s="8" t="s">
        <v>25</v>
      </c>
      <c r="I490" s="7" t="str">
        <f>IF(I489&lt;'Characteristics&amp;Parameters'!$B$17,ConcentrationsCalculations!I489+1,IF(I489="DS Node","",IF(I489="","","DS Node")))</f>
        <v/>
      </c>
      <c r="J490" s="13" t="str">
        <f>IF(I490="DS Node",'Characteristics&amp;Parameters'!$B$8,IF(I490&lt;='Characteristics&amp;Parameters'!$B$17,((1-'Characteristics&amp;Parameters'!$B$19)*ConcentrationsCalculations!F490+'Characteristics&amp;Parameters'!$B$19*ConcentrationsCalculations!F489-F490/86400*'Characteristics&amp;Parameters'!$B$11*'Characteristics&amp;Parameters'!$B$12),""))</f>
        <v/>
      </c>
    </row>
    <row r="491" spans="1:10" x14ac:dyDescent="0.5">
      <c r="A491" s="7" t="str">
        <f>IF(A490&lt;'Characteristics&amp;Parameters'!$B$17,ConcentrationsCalculations!A490+1,IF(A490="DS Node","",IF(A490="","","DS Node")))</f>
        <v/>
      </c>
      <c r="B491" s="8" t="str">
        <f>IF(A491&lt;='Characteristics&amp;Parameters'!$B$17,'Characteristics&amp;Parameters'!$B$7,IF(ConcentrationsCalculations!A491="DS Node",'Characteristics&amp;Parameters'!$B$8,""))</f>
        <v/>
      </c>
      <c r="C491" s="8"/>
      <c r="E491" s="7" t="s">
        <v>25</v>
      </c>
      <c r="F491" s="8" t="s">
        <v>25</v>
      </c>
      <c r="I491" s="7" t="str">
        <f>IF(I490&lt;'Characteristics&amp;Parameters'!$B$17,ConcentrationsCalculations!I490+1,IF(I490="DS Node","",IF(I490="","","DS Node")))</f>
        <v/>
      </c>
      <c r="J491" s="13" t="str">
        <f>IF(I491="DS Node",'Characteristics&amp;Parameters'!$B$8,IF(I491&lt;='Characteristics&amp;Parameters'!$B$17,((1-'Characteristics&amp;Parameters'!$B$19)*ConcentrationsCalculations!F491+'Characteristics&amp;Parameters'!$B$19*ConcentrationsCalculations!F490-F491/86400*'Characteristics&amp;Parameters'!$B$11*'Characteristics&amp;Parameters'!$B$12),""))</f>
        <v/>
      </c>
    </row>
    <row r="492" spans="1:10" x14ac:dyDescent="0.5">
      <c r="A492" s="7" t="str">
        <f>IF(A491&lt;'Characteristics&amp;Parameters'!$B$17,ConcentrationsCalculations!A491+1,IF(A491="DS Node","",IF(A491="","","DS Node")))</f>
        <v/>
      </c>
      <c r="B492" s="8" t="str">
        <f>IF(A492&lt;='Characteristics&amp;Parameters'!$B$17,'Characteristics&amp;Parameters'!$B$7,IF(ConcentrationsCalculations!A492="DS Node",'Characteristics&amp;Parameters'!$B$8,""))</f>
        <v/>
      </c>
      <c r="C492" s="8"/>
      <c r="E492" s="7" t="s">
        <v>25</v>
      </c>
      <c r="F492" s="8" t="s">
        <v>25</v>
      </c>
      <c r="I492" s="7" t="str">
        <f>IF(I491&lt;'Characteristics&amp;Parameters'!$B$17,ConcentrationsCalculations!I491+1,IF(I491="DS Node","",IF(I491="","","DS Node")))</f>
        <v/>
      </c>
      <c r="J492" s="13" t="str">
        <f>IF(I492="DS Node",'Characteristics&amp;Parameters'!$B$8,IF(I492&lt;='Characteristics&amp;Parameters'!$B$17,((1-'Characteristics&amp;Parameters'!$B$19)*ConcentrationsCalculations!F492+'Characteristics&amp;Parameters'!$B$19*ConcentrationsCalculations!F491-F492/86400*'Characteristics&amp;Parameters'!$B$11*'Characteristics&amp;Parameters'!$B$12),""))</f>
        <v/>
      </c>
    </row>
    <row r="493" spans="1:10" x14ac:dyDescent="0.5">
      <c r="A493" s="7" t="str">
        <f>IF(A492&lt;'Characteristics&amp;Parameters'!$B$17,ConcentrationsCalculations!A492+1,IF(A492="DS Node","",IF(A492="","","DS Node")))</f>
        <v/>
      </c>
      <c r="B493" s="8" t="str">
        <f>IF(A493&lt;='Characteristics&amp;Parameters'!$B$17,'Characteristics&amp;Parameters'!$B$7,IF(ConcentrationsCalculations!A493="DS Node",'Characteristics&amp;Parameters'!$B$8,""))</f>
        <v/>
      </c>
      <c r="C493" s="8"/>
      <c r="E493" s="7" t="s">
        <v>25</v>
      </c>
      <c r="F493" s="8" t="s">
        <v>25</v>
      </c>
      <c r="I493" s="7" t="str">
        <f>IF(I492&lt;'Characteristics&amp;Parameters'!$B$17,ConcentrationsCalculations!I492+1,IF(I492="DS Node","",IF(I492="","","DS Node")))</f>
        <v/>
      </c>
      <c r="J493" s="13" t="str">
        <f>IF(I493="DS Node",'Characteristics&amp;Parameters'!$B$8,IF(I493&lt;='Characteristics&amp;Parameters'!$B$17,((1-'Characteristics&amp;Parameters'!$B$19)*ConcentrationsCalculations!F493+'Characteristics&amp;Parameters'!$B$19*ConcentrationsCalculations!F492-F493/86400*'Characteristics&amp;Parameters'!$B$11*'Characteristics&amp;Parameters'!$B$12),""))</f>
        <v/>
      </c>
    </row>
    <row r="494" spans="1:10" x14ac:dyDescent="0.5">
      <c r="A494" s="7" t="str">
        <f>IF(A493&lt;'Characteristics&amp;Parameters'!$B$17,ConcentrationsCalculations!A493+1,IF(A493="DS Node","",IF(A493="","","DS Node")))</f>
        <v/>
      </c>
      <c r="B494" s="8" t="str">
        <f>IF(A494&lt;='Characteristics&amp;Parameters'!$B$17,'Characteristics&amp;Parameters'!$B$7,IF(ConcentrationsCalculations!A494="DS Node",'Characteristics&amp;Parameters'!$B$8,""))</f>
        <v/>
      </c>
      <c r="C494" s="8"/>
      <c r="E494" s="7" t="s">
        <v>25</v>
      </c>
      <c r="F494" s="8" t="s">
        <v>25</v>
      </c>
      <c r="I494" s="7" t="str">
        <f>IF(I493&lt;'Characteristics&amp;Parameters'!$B$17,ConcentrationsCalculations!I493+1,IF(I493="DS Node","",IF(I493="","","DS Node")))</f>
        <v/>
      </c>
      <c r="J494" s="13" t="str">
        <f>IF(I494="DS Node",'Characteristics&amp;Parameters'!$B$8,IF(I494&lt;='Characteristics&amp;Parameters'!$B$17,((1-'Characteristics&amp;Parameters'!$B$19)*ConcentrationsCalculations!F494+'Characteristics&amp;Parameters'!$B$19*ConcentrationsCalculations!F493-F494/86400*'Characteristics&amp;Parameters'!$B$11*'Characteristics&amp;Parameters'!$B$12),""))</f>
        <v/>
      </c>
    </row>
    <row r="495" spans="1:10" x14ac:dyDescent="0.5">
      <c r="A495" s="7" t="str">
        <f>IF(A494&lt;'Characteristics&amp;Parameters'!$B$17,ConcentrationsCalculations!A494+1,IF(A494="DS Node","",IF(A494="","","DS Node")))</f>
        <v/>
      </c>
      <c r="B495" s="8" t="str">
        <f>IF(A495&lt;='Characteristics&amp;Parameters'!$B$17,'Characteristics&amp;Parameters'!$B$7,IF(ConcentrationsCalculations!A495="DS Node",'Characteristics&amp;Parameters'!$B$8,""))</f>
        <v/>
      </c>
      <c r="C495" s="8"/>
      <c r="E495" s="7" t="s">
        <v>25</v>
      </c>
      <c r="F495" s="8" t="s">
        <v>25</v>
      </c>
      <c r="I495" s="7" t="str">
        <f>IF(I494&lt;'Characteristics&amp;Parameters'!$B$17,ConcentrationsCalculations!I494+1,IF(I494="DS Node","",IF(I494="","","DS Node")))</f>
        <v/>
      </c>
      <c r="J495" s="13" t="str">
        <f>IF(I495="DS Node",'Characteristics&amp;Parameters'!$B$8,IF(I495&lt;='Characteristics&amp;Parameters'!$B$17,((1-'Characteristics&amp;Parameters'!$B$19)*ConcentrationsCalculations!F495+'Characteristics&amp;Parameters'!$B$19*ConcentrationsCalculations!F494-F495/86400*'Characteristics&amp;Parameters'!$B$11*'Characteristics&amp;Parameters'!$B$12),""))</f>
        <v/>
      </c>
    </row>
    <row r="496" spans="1:10" x14ac:dyDescent="0.5">
      <c r="A496" s="7" t="str">
        <f>IF(A495&lt;'Characteristics&amp;Parameters'!$B$17,ConcentrationsCalculations!A495+1,IF(A495="DS Node","",IF(A495="","","DS Node")))</f>
        <v/>
      </c>
      <c r="B496" s="8" t="str">
        <f>IF(A496&lt;='Characteristics&amp;Parameters'!$B$17,'Characteristics&amp;Parameters'!$B$7,IF(ConcentrationsCalculations!A496="DS Node",'Characteristics&amp;Parameters'!$B$8,""))</f>
        <v/>
      </c>
      <c r="C496" s="8"/>
      <c r="E496" s="7" t="s">
        <v>25</v>
      </c>
      <c r="F496" s="8" t="s">
        <v>25</v>
      </c>
      <c r="I496" s="7" t="str">
        <f>IF(I495&lt;'Characteristics&amp;Parameters'!$B$17,ConcentrationsCalculations!I495+1,IF(I495="DS Node","",IF(I495="","","DS Node")))</f>
        <v/>
      </c>
      <c r="J496" s="13" t="str">
        <f>IF(I496="DS Node",'Characteristics&amp;Parameters'!$B$8,IF(I496&lt;='Characteristics&amp;Parameters'!$B$17,((1-'Characteristics&amp;Parameters'!$B$19)*ConcentrationsCalculations!F496+'Characteristics&amp;Parameters'!$B$19*ConcentrationsCalculations!F495-F496/86400*'Characteristics&amp;Parameters'!$B$11*'Characteristics&amp;Parameters'!$B$12),""))</f>
        <v/>
      </c>
    </row>
    <row r="497" spans="1:10" x14ac:dyDescent="0.5">
      <c r="A497" s="7" t="str">
        <f>IF(A496&lt;'Characteristics&amp;Parameters'!$B$17,ConcentrationsCalculations!A496+1,IF(A496="DS Node","",IF(A496="","","DS Node")))</f>
        <v/>
      </c>
      <c r="B497" s="8" t="str">
        <f>IF(A497&lt;='Characteristics&amp;Parameters'!$B$17,'Characteristics&amp;Parameters'!$B$7,IF(ConcentrationsCalculations!A497="DS Node",'Characteristics&amp;Parameters'!$B$8,""))</f>
        <v/>
      </c>
      <c r="C497" s="8"/>
      <c r="E497" s="7" t="s">
        <v>25</v>
      </c>
      <c r="F497" s="8" t="s">
        <v>25</v>
      </c>
      <c r="I497" s="7" t="str">
        <f>IF(I496&lt;'Characteristics&amp;Parameters'!$B$17,ConcentrationsCalculations!I496+1,IF(I496="DS Node","",IF(I496="","","DS Node")))</f>
        <v/>
      </c>
      <c r="J497" s="13" t="str">
        <f>IF(I497="DS Node",'Characteristics&amp;Parameters'!$B$8,IF(I497&lt;='Characteristics&amp;Parameters'!$B$17,((1-'Characteristics&amp;Parameters'!$B$19)*ConcentrationsCalculations!F497+'Characteristics&amp;Parameters'!$B$19*ConcentrationsCalculations!F496-F497/86400*'Characteristics&amp;Parameters'!$B$11*'Characteristics&amp;Parameters'!$B$12),""))</f>
        <v/>
      </c>
    </row>
    <row r="498" spans="1:10" x14ac:dyDescent="0.5">
      <c r="A498" s="7" t="str">
        <f>IF(A497&lt;'Characteristics&amp;Parameters'!$B$17,ConcentrationsCalculations!A497+1,IF(A497="DS Node","",IF(A497="","","DS Node")))</f>
        <v/>
      </c>
      <c r="B498" s="8" t="str">
        <f>IF(A498&lt;='Characteristics&amp;Parameters'!$B$17,'Characteristics&amp;Parameters'!$B$7,IF(ConcentrationsCalculations!A498="DS Node",'Characteristics&amp;Parameters'!$B$8,""))</f>
        <v/>
      </c>
      <c r="C498" s="8"/>
      <c r="E498" s="7" t="s">
        <v>25</v>
      </c>
      <c r="F498" s="8" t="s">
        <v>25</v>
      </c>
      <c r="I498" s="7" t="str">
        <f>IF(I497&lt;'Characteristics&amp;Parameters'!$B$17,ConcentrationsCalculations!I497+1,IF(I497="DS Node","",IF(I497="","","DS Node")))</f>
        <v/>
      </c>
      <c r="J498" s="13" t="str">
        <f>IF(I498="DS Node",'Characteristics&amp;Parameters'!$B$8,IF(I498&lt;='Characteristics&amp;Parameters'!$B$17,((1-'Characteristics&amp;Parameters'!$B$19)*ConcentrationsCalculations!F498+'Characteristics&amp;Parameters'!$B$19*ConcentrationsCalculations!F497-F498/86400*'Characteristics&amp;Parameters'!$B$11*'Characteristics&amp;Parameters'!$B$12),""))</f>
        <v/>
      </c>
    </row>
    <row r="499" spans="1:10" x14ac:dyDescent="0.5">
      <c r="A499" s="7" t="str">
        <f>IF(A498&lt;'Characteristics&amp;Parameters'!$B$17,ConcentrationsCalculations!A498+1,IF(A498="DS Node","",IF(A498="","","DS Node")))</f>
        <v/>
      </c>
      <c r="B499" s="8" t="str">
        <f>IF(A499&lt;='Characteristics&amp;Parameters'!$B$17,'Characteristics&amp;Parameters'!$B$7,IF(ConcentrationsCalculations!A499="DS Node",'Characteristics&amp;Parameters'!$B$8,""))</f>
        <v/>
      </c>
      <c r="C499" s="8"/>
      <c r="E499" s="7" t="s">
        <v>25</v>
      </c>
      <c r="F499" s="8" t="s">
        <v>25</v>
      </c>
      <c r="I499" s="7" t="str">
        <f>IF(I498&lt;'Characteristics&amp;Parameters'!$B$17,ConcentrationsCalculations!I498+1,IF(I498="DS Node","",IF(I498="","","DS Node")))</f>
        <v/>
      </c>
      <c r="J499" s="13" t="str">
        <f>IF(I499="DS Node",'Characteristics&amp;Parameters'!$B$8,IF(I499&lt;='Characteristics&amp;Parameters'!$B$17,((1-'Characteristics&amp;Parameters'!$B$19)*ConcentrationsCalculations!F499+'Characteristics&amp;Parameters'!$B$19*ConcentrationsCalculations!F498-F499/86400*'Characteristics&amp;Parameters'!$B$11*'Characteristics&amp;Parameters'!$B$12),""))</f>
        <v/>
      </c>
    </row>
    <row r="500" spans="1:10" x14ac:dyDescent="0.5">
      <c r="A500" s="7" t="str">
        <f>IF(A499&lt;'Characteristics&amp;Parameters'!$B$17,ConcentrationsCalculations!A499+1,IF(A499="DS Node","",IF(A499="","","DS Node")))</f>
        <v/>
      </c>
      <c r="B500" s="8" t="str">
        <f>IF(A500&lt;='Characteristics&amp;Parameters'!$B$17,'Characteristics&amp;Parameters'!$B$7,IF(ConcentrationsCalculations!A500="DS Node",'Characteristics&amp;Parameters'!$B$8,""))</f>
        <v/>
      </c>
      <c r="C500" s="8"/>
      <c r="E500" s="7" t="s">
        <v>25</v>
      </c>
      <c r="F500" s="8" t="s">
        <v>25</v>
      </c>
      <c r="I500" s="7" t="str">
        <f>IF(I499&lt;'Characteristics&amp;Parameters'!$B$17,ConcentrationsCalculations!I499+1,IF(I499="DS Node","",IF(I499="","","DS Node")))</f>
        <v/>
      </c>
      <c r="J500" s="13" t="str">
        <f>IF(I500="DS Node",'Characteristics&amp;Parameters'!$B$8,IF(I500&lt;='Characteristics&amp;Parameters'!$B$17,((1-'Characteristics&amp;Parameters'!$B$19)*ConcentrationsCalculations!F500+'Characteristics&amp;Parameters'!$B$19*ConcentrationsCalculations!F499-F500/86400*'Characteristics&amp;Parameters'!$B$11*'Characteristics&amp;Parameters'!$B$12),""))</f>
        <v/>
      </c>
    </row>
    <row r="501" spans="1:10" x14ac:dyDescent="0.5">
      <c r="A501" s="7" t="str">
        <f>IF(A500&lt;'Characteristics&amp;Parameters'!$B$17,ConcentrationsCalculations!A500+1,IF(A500="DS Node","",IF(A500="","","DS Node")))</f>
        <v/>
      </c>
      <c r="B501" s="8" t="str">
        <f>IF(A501&lt;='Characteristics&amp;Parameters'!$B$17,'Characteristics&amp;Parameters'!$B$7,IF(ConcentrationsCalculations!A501="DS Node",'Characteristics&amp;Parameters'!$B$8,""))</f>
        <v/>
      </c>
      <c r="C501" s="8"/>
      <c r="E501" s="7" t="s">
        <v>25</v>
      </c>
      <c r="F501" s="8" t="s">
        <v>25</v>
      </c>
      <c r="I501" s="7" t="str">
        <f>IF(I500&lt;'Characteristics&amp;Parameters'!$B$17,ConcentrationsCalculations!I500+1,IF(I500="DS Node","",IF(I500="","","DS Node")))</f>
        <v/>
      </c>
      <c r="J501" s="13" t="str">
        <f>IF(I501="DS Node",'Characteristics&amp;Parameters'!$B$8,IF(I501&lt;='Characteristics&amp;Parameters'!$B$17,((1-'Characteristics&amp;Parameters'!$B$19)*ConcentrationsCalculations!F501+'Characteristics&amp;Parameters'!$B$19*ConcentrationsCalculations!F500-F501/86400*'Characteristics&amp;Parameters'!$B$11*'Characteristics&amp;Parameters'!$B$12),""))</f>
        <v/>
      </c>
    </row>
    <row r="502" spans="1:10" x14ac:dyDescent="0.5">
      <c r="A502" s="7" t="str">
        <f>IF(A501&lt;'Characteristics&amp;Parameters'!$B$17,ConcentrationsCalculations!A501+1,IF(A501="DS Node","",IF(A501="","","DS Node")))</f>
        <v/>
      </c>
      <c r="B502" s="8" t="str">
        <f>IF(A502&lt;='Characteristics&amp;Parameters'!$B$17,'Characteristics&amp;Parameters'!$B$7,IF(ConcentrationsCalculations!A502="DS Node",'Characteristics&amp;Parameters'!$B$8,""))</f>
        <v/>
      </c>
      <c r="C502" s="8"/>
      <c r="E502" s="7" t="s">
        <v>25</v>
      </c>
      <c r="F502" s="8" t="s">
        <v>25</v>
      </c>
      <c r="I502" s="7" t="str">
        <f>IF(I501&lt;'Characteristics&amp;Parameters'!$B$17,ConcentrationsCalculations!I501+1,IF(I501="DS Node","",IF(I501="","","DS Node")))</f>
        <v/>
      </c>
      <c r="J502" s="13" t="str">
        <f>IF(I502="DS Node",'Characteristics&amp;Parameters'!$B$8,IF(I502&lt;='Characteristics&amp;Parameters'!$B$17,((1-'Characteristics&amp;Parameters'!$B$19)*ConcentrationsCalculations!F502+'Characteristics&amp;Parameters'!$B$19*ConcentrationsCalculations!F501-F502/86400*'Characteristics&amp;Parameters'!$B$11*'Characteristics&amp;Parameters'!$B$12),""))</f>
        <v/>
      </c>
    </row>
    <row r="503" spans="1:10" x14ac:dyDescent="0.5">
      <c r="A503" s="7" t="str">
        <f>IF(A502&lt;'Characteristics&amp;Parameters'!$B$17,ConcentrationsCalculations!A502+1,IF(A502="DS Node","",IF(A502="","","DS Node")))</f>
        <v/>
      </c>
      <c r="B503" s="8" t="str">
        <f>IF(A503&lt;='Characteristics&amp;Parameters'!$B$17,'Characteristics&amp;Parameters'!$B$7,IF(ConcentrationsCalculations!A503="DS Node",'Characteristics&amp;Parameters'!$B$8,""))</f>
        <v/>
      </c>
      <c r="C503" s="8"/>
      <c r="E503" s="7" t="s">
        <v>25</v>
      </c>
      <c r="F503" s="8" t="s">
        <v>25</v>
      </c>
      <c r="I503" s="7" t="str">
        <f>IF(I502&lt;'Characteristics&amp;Parameters'!$B$17,ConcentrationsCalculations!I502+1,IF(I502="DS Node","",IF(I502="","","DS Node")))</f>
        <v/>
      </c>
      <c r="J503" s="13" t="str">
        <f>IF(I503="DS Node",'Characteristics&amp;Parameters'!$B$8,IF(I503&lt;='Characteristics&amp;Parameters'!$B$17,((1-'Characteristics&amp;Parameters'!$B$19)*ConcentrationsCalculations!F503+'Characteristics&amp;Parameters'!$B$19*ConcentrationsCalculations!F502-F503/86400*'Characteristics&amp;Parameters'!$B$11*'Characteristics&amp;Parameters'!$B$12),""))</f>
        <v/>
      </c>
    </row>
    <row r="504" spans="1:10" x14ac:dyDescent="0.5">
      <c r="A504" s="7" t="str">
        <f>IF(A503&lt;'Characteristics&amp;Parameters'!$B$17,ConcentrationsCalculations!A503+1,IF(A503="DS Node","",IF(A503="","","DS Node")))</f>
        <v/>
      </c>
      <c r="B504" s="8" t="str">
        <f>IF(A504&lt;='Characteristics&amp;Parameters'!$B$17,'Characteristics&amp;Parameters'!$B$7,IF(ConcentrationsCalculations!A504="DS Node",'Characteristics&amp;Parameters'!$B$8,""))</f>
        <v/>
      </c>
      <c r="C504" s="8"/>
      <c r="E504" s="7" t="s">
        <v>25</v>
      </c>
      <c r="F504" s="8" t="s">
        <v>25</v>
      </c>
      <c r="I504" s="7" t="str">
        <f>IF(I503&lt;'Characteristics&amp;Parameters'!$B$17,ConcentrationsCalculations!I503+1,IF(I503="DS Node","",IF(I503="","","DS Node")))</f>
        <v/>
      </c>
      <c r="J504" s="13" t="str">
        <f>IF(I504="DS Node",'Characteristics&amp;Parameters'!$B$8,IF(I504&lt;='Characteristics&amp;Parameters'!$B$17,((1-'Characteristics&amp;Parameters'!$B$19)*ConcentrationsCalculations!F504+'Characteristics&amp;Parameters'!$B$19*ConcentrationsCalculations!F503-F504/86400*'Characteristics&amp;Parameters'!$B$11*'Characteristics&amp;Parameters'!$B$12),""))</f>
        <v/>
      </c>
    </row>
    <row r="505" spans="1:10" x14ac:dyDescent="0.5">
      <c r="A505" s="7" t="str">
        <f>IF(A504&lt;'Characteristics&amp;Parameters'!$B$17,ConcentrationsCalculations!A504+1,IF(A504="DS Node","",IF(A504="","","DS Node")))</f>
        <v/>
      </c>
      <c r="B505" s="8" t="str">
        <f>IF(A505&lt;='Characteristics&amp;Parameters'!$B$17,'Characteristics&amp;Parameters'!$B$7,IF(ConcentrationsCalculations!A505="DS Node",'Characteristics&amp;Parameters'!$B$8,""))</f>
        <v/>
      </c>
      <c r="C505" s="8"/>
      <c r="E505" s="7" t="s">
        <v>25</v>
      </c>
      <c r="F505" s="8" t="s">
        <v>25</v>
      </c>
      <c r="I505" s="7" t="str">
        <f>IF(I504&lt;'Characteristics&amp;Parameters'!$B$17,ConcentrationsCalculations!I504+1,IF(I504="DS Node","",IF(I504="","","DS Node")))</f>
        <v/>
      </c>
      <c r="J505" s="13" t="str">
        <f>IF(I505="DS Node",'Characteristics&amp;Parameters'!$B$8,IF(I505&lt;='Characteristics&amp;Parameters'!$B$17,((1-'Characteristics&amp;Parameters'!$B$19)*ConcentrationsCalculations!F505+'Characteristics&amp;Parameters'!$B$19*ConcentrationsCalculations!F504-F505/86400*'Characteristics&amp;Parameters'!$B$11*'Characteristics&amp;Parameters'!$B$12),""))</f>
        <v/>
      </c>
    </row>
    <row r="506" spans="1:10" x14ac:dyDescent="0.5">
      <c r="A506" s="7" t="str">
        <f>IF(A505&lt;'Characteristics&amp;Parameters'!$B$17,ConcentrationsCalculations!A505+1,IF(A505="DS Node","",IF(A505="","","DS Node")))</f>
        <v/>
      </c>
      <c r="B506" s="8" t="str">
        <f>IF(A506&lt;='Characteristics&amp;Parameters'!$B$17,'Characteristics&amp;Parameters'!$B$7,IF(ConcentrationsCalculations!A506="DS Node",'Characteristics&amp;Parameters'!$B$8,""))</f>
        <v/>
      </c>
      <c r="C506" s="8"/>
      <c r="E506" s="7" t="s">
        <v>25</v>
      </c>
      <c r="F506" s="8" t="s">
        <v>25</v>
      </c>
      <c r="I506" s="7" t="str">
        <f>IF(I505&lt;'Characteristics&amp;Parameters'!$B$17,ConcentrationsCalculations!I505+1,IF(I505="DS Node","",IF(I505="","","DS Node")))</f>
        <v/>
      </c>
      <c r="J506" s="13" t="str">
        <f>IF(I506="DS Node",'Characteristics&amp;Parameters'!$B$8,IF(I506&lt;='Characteristics&amp;Parameters'!$B$17,((1-'Characteristics&amp;Parameters'!$B$19)*ConcentrationsCalculations!F506+'Characteristics&amp;Parameters'!$B$19*ConcentrationsCalculations!F505-F506/86400*'Characteristics&amp;Parameters'!$B$11*'Characteristics&amp;Parameters'!$B$12),""))</f>
        <v/>
      </c>
    </row>
    <row r="507" spans="1:10" x14ac:dyDescent="0.5">
      <c r="A507" s="7" t="str">
        <f>IF(A506&lt;'Characteristics&amp;Parameters'!$B$17,ConcentrationsCalculations!A506+1,IF(A506="DS Node","",IF(A506="","","DS Node")))</f>
        <v/>
      </c>
      <c r="B507" s="8" t="str">
        <f>IF(A507&lt;='Characteristics&amp;Parameters'!$B$17,'Characteristics&amp;Parameters'!$B$7,IF(ConcentrationsCalculations!A507="DS Node",'Characteristics&amp;Parameters'!$B$8,""))</f>
        <v/>
      </c>
      <c r="C507" s="8"/>
      <c r="E507" s="7" t="s">
        <v>25</v>
      </c>
      <c r="F507" s="8" t="s">
        <v>25</v>
      </c>
      <c r="I507" s="7" t="str">
        <f>IF(I506&lt;'Characteristics&amp;Parameters'!$B$17,ConcentrationsCalculations!I506+1,IF(I506="DS Node","",IF(I506="","","DS Node")))</f>
        <v/>
      </c>
      <c r="J507" s="13" t="str">
        <f>IF(I507="DS Node",'Characteristics&amp;Parameters'!$B$8,IF(I507&lt;='Characteristics&amp;Parameters'!$B$17,((1-'Characteristics&amp;Parameters'!$B$19)*ConcentrationsCalculations!F507+'Characteristics&amp;Parameters'!$B$19*ConcentrationsCalculations!F506-F507/86400*'Characteristics&amp;Parameters'!$B$11*'Characteristics&amp;Parameters'!$B$12),""))</f>
        <v/>
      </c>
    </row>
    <row r="508" spans="1:10" x14ac:dyDescent="0.5">
      <c r="A508" s="7" t="str">
        <f>IF(A507&lt;'Characteristics&amp;Parameters'!$B$17,ConcentrationsCalculations!A507+1,IF(A507="DS Node","",IF(A507="","","DS Node")))</f>
        <v/>
      </c>
      <c r="B508" s="8" t="str">
        <f>IF(A508&lt;='Characteristics&amp;Parameters'!$B$17,'Characteristics&amp;Parameters'!$B$7,IF(ConcentrationsCalculations!A508="DS Node",'Characteristics&amp;Parameters'!$B$8,""))</f>
        <v/>
      </c>
      <c r="C508" s="8"/>
      <c r="E508" s="7" t="s">
        <v>25</v>
      </c>
      <c r="F508" s="8" t="s">
        <v>25</v>
      </c>
      <c r="I508" s="7" t="str">
        <f>IF(I507&lt;'Characteristics&amp;Parameters'!$B$17,ConcentrationsCalculations!I507+1,IF(I507="DS Node","",IF(I507="","","DS Node")))</f>
        <v/>
      </c>
      <c r="J508" s="13" t="str">
        <f>IF(I508="DS Node",'Characteristics&amp;Parameters'!$B$8,IF(I508&lt;='Characteristics&amp;Parameters'!$B$17,((1-'Characteristics&amp;Parameters'!$B$19)*ConcentrationsCalculations!F508+'Characteristics&amp;Parameters'!$B$19*ConcentrationsCalculations!F507-F508/86400*'Characteristics&amp;Parameters'!$B$11*'Characteristics&amp;Parameters'!$B$12),""))</f>
        <v/>
      </c>
    </row>
    <row r="509" spans="1:10" x14ac:dyDescent="0.5">
      <c r="A509" s="7" t="str">
        <f>IF(A508&lt;'Characteristics&amp;Parameters'!$B$17,ConcentrationsCalculations!A508+1,IF(A508="DS Node","",IF(A508="","","DS Node")))</f>
        <v/>
      </c>
      <c r="B509" s="8" t="str">
        <f>IF(A509&lt;='Characteristics&amp;Parameters'!$B$17,'Characteristics&amp;Parameters'!$B$7,IF(ConcentrationsCalculations!A509="DS Node",'Characteristics&amp;Parameters'!$B$8,""))</f>
        <v/>
      </c>
      <c r="C509" s="8"/>
      <c r="E509" s="7" t="s">
        <v>25</v>
      </c>
      <c r="F509" s="8" t="s">
        <v>25</v>
      </c>
      <c r="I509" s="7" t="str">
        <f>IF(I508&lt;'Characteristics&amp;Parameters'!$B$17,ConcentrationsCalculations!I508+1,IF(I508="DS Node","",IF(I508="","","DS Node")))</f>
        <v/>
      </c>
      <c r="J509" s="13" t="str">
        <f>IF(I509="DS Node",'Characteristics&amp;Parameters'!$B$8,IF(I509&lt;='Characteristics&amp;Parameters'!$B$17,((1-'Characteristics&amp;Parameters'!$B$19)*ConcentrationsCalculations!F509+'Characteristics&amp;Parameters'!$B$19*ConcentrationsCalculations!F508-F509/86400*'Characteristics&amp;Parameters'!$B$11*'Characteristics&amp;Parameters'!$B$12),""))</f>
        <v/>
      </c>
    </row>
    <row r="510" spans="1:10" x14ac:dyDescent="0.5">
      <c r="A510" s="7" t="str">
        <f>IF(A509&lt;'Characteristics&amp;Parameters'!$B$17,ConcentrationsCalculations!A509+1,IF(A509="DS Node","",IF(A509="","","DS Node")))</f>
        <v/>
      </c>
      <c r="B510" s="8" t="str">
        <f>IF(A510&lt;='Characteristics&amp;Parameters'!$B$17,'Characteristics&amp;Parameters'!$B$7,IF(ConcentrationsCalculations!A510="DS Node",'Characteristics&amp;Parameters'!$B$8,""))</f>
        <v/>
      </c>
      <c r="C510" s="8"/>
      <c r="E510" s="7" t="s">
        <v>25</v>
      </c>
      <c r="F510" s="8" t="s">
        <v>25</v>
      </c>
      <c r="I510" s="7" t="str">
        <f>IF(I509&lt;'Characteristics&amp;Parameters'!$B$17,ConcentrationsCalculations!I509+1,IF(I509="DS Node","",IF(I509="","","DS Node")))</f>
        <v/>
      </c>
      <c r="J510" s="13" t="str">
        <f>IF(I510="DS Node",'Characteristics&amp;Parameters'!$B$8,IF(I510&lt;='Characteristics&amp;Parameters'!$B$17,((1-'Characteristics&amp;Parameters'!$B$19)*ConcentrationsCalculations!F510+'Characteristics&amp;Parameters'!$B$19*ConcentrationsCalculations!F509-F510/86400*'Characteristics&amp;Parameters'!$B$11*'Characteristics&amp;Parameters'!$B$12),""))</f>
        <v/>
      </c>
    </row>
    <row r="511" spans="1:10" x14ac:dyDescent="0.5">
      <c r="A511" s="7" t="str">
        <f>IF(A510&lt;'Characteristics&amp;Parameters'!$B$17,ConcentrationsCalculations!A510+1,IF(A510="DS Node","",IF(A510="","","DS Node")))</f>
        <v/>
      </c>
      <c r="B511" s="8" t="str">
        <f>IF(A511&lt;='Characteristics&amp;Parameters'!$B$17,'Characteristics&amp;Parameters'!$B$7,IF(ConcentrationsCalculations!A511="DS Node",'Characteristics&amp;Parameters'!$B$8,""))</f>
        <v/>
      </c>
      <c r="C511" s="8"/>
      <c r="E511" s="7" t="s">
        <v>25</v>
      </c>
      <c r="F511" s="8" t="s">
        <v>25</v>
      </c>
      <c r="I511" s="7" t="str">
        <f>IF(I510&lt;'Characteristics&amp;Parameters'!$B$17,ConcentrationsCalculations!I510+1,IF(I510="DS Node","",IF(I510="","","DS Node")))</f>
        <v/>
      </c>
      <c r="J511" s="13" t="str">
        <f>IF(I511="DS Node",'Characteristics&amp;Parameters'!$B$8,IF(I511&lt;='Characteristics&amp;Parameters'!$B$17,((1-'Characteristics&amp;Parameters'!$B$19)*ConcentrationsCalculations!F511+'Characteristics&amp;Parameters'!$B$19*ConcentrationsCalculations!F510-F511/86400*'Characteristics&amp;Parameters'!$B$11*'Characteristics&amp;Parameters'!$B$12),""))</f>
        <v/>
      </c>
    </row>
    <row r="512" spans="1:10" x14ac:dyDescent="0.5">
      <c r="A512" s="7" t="str">
        <f>IF(A511&lt;'Characteristics&amp;Parameters'!$B$17,ConcentrationsCalculations!A511+1,IF(A511="DS Node","",IF(A511="","","DS Node")))</f>
        <v/>
      </c>
      <c r="B512" s="8" t="str">
        <f>IF(A512&lt;='Characteristics&amp;Parameters'!$B$17,'Characteristics&amp;Parameters'!$B$7,IF(ConcentrationsCalculations!A512="DS Node",'Characteristics&amp;Parameters'!$B$8,""))</f>
        <v/>
      </c>
      <c r="C512" s="8"/>
      <c r="E512" s="7" t="s">
        <v>25</v>
      </c>
      <c r="F512" s="8" t="s">
        <v>25</v>
      </c>
      <c r="I512" s="7" t="str">
        <f>IF(I511&lt;'Characteristics&amp;Parameters'!$B$17,ConcentrationsCalculations!I511+1,IF(I511="DS Node","",IF(I511="","","DS Node")))</f>
        <v/>
      </c>
      <c r="J512" s="13" t="str">
        <f>IF(I512="DS Node",'Characteristics&amp;Parameters'!$B$8,IF(I512&lt;='Characteristics&amp;Parameters'!$B$17,((1-'Characteristics&amp;Parameters'!$B$19)*ConcentrationsCalculations!F512+'Characteristics&amp;Parameters'!$B$19*ConcentrationsCalculations!F511-F512/86400*'Characteristics&amp;Parameters'!$B$11*'Characteristics&amp;Parameters'!$B$12),""))</f>
        <v/>
      </c>
    </row>
    <row r="513" spans="1:10" x14ac:dyDescent="0.5">
      <c r="A513" s="7" t="str">
        <f>IF(A512&lt;'Characteristics&amp;Parameters'!$B$17,ConcentrationsCalculations!A512+1,IF(A512="DS Node","",IF(A512="","","DS Node")))</f>
        <v/>
      </c>
      <c r="B513" s="8" t="str">
        <f>IF(A513&lt;='Characteristics&amp;Parameters'!$B$17,'Characteristics&amp;Parameters'!$B$7,IF(ConcentrationsCalculations!A513="DS Node",'Characteristics&amp;Parameters'!$B$8,""))</f>
        <v/>
      </c>
      <c r="C513" s="8"/>
      <c r="E513" s="7" t="s">
        <v>25</v>
      </c>
      <c r="F513" s="8" t="s">
        <v>25</v>
      </c>
      <c r="I513" s="7" t="str">
        <f>IF(I512&lt;'Characteristics&amp;Parameters'!$B$17,ConcentrationsCalculations!I512+1,IF(I512="DS Node","",IF(I512="","","DS Node")))</f>
        <v/>
      </c>
      <c r="J513" s="13" t="str">
        <f>IF(I513="DS Node",'Characteristics&amp;Parameters'!$B$8,IF(I513&lt;='Characteristics&amp;Parameters'!$B$17,((1-'Characteristics&amp;Parameters'!$B$19)*ConcentrationsCalculations!F513+'Characteristics&amp;Parameters'!$B$19*ConcentrationsCalculations!F512-F513/86400*'Characteristics&amp;Parameters'!$B$11*'Characteristics&amp;Parameters'!$B$12),""))</f>
        <v/>
      </c>
    </row>
    <row r="514" spans="1:10" x14ac:dyDescent="0.5">
      <c r="A514" s="7" t="str">
        <f>IF(A513&lt;'Characteristics&amp;Parameters'!$B$17,ConcentrationsCalculations!A513+1,IF(A513="DS Node","",IF(A513="","","DS Node")))</f>
        <v/>
      </c>
      <c r="B514" s="8" t="str">
        <f>IF(A514&lt;='Characteristics&amp;Parameters'!$B$17,'Characteristics&amp;Parameters'!$B$7,IF(ConcentrationsCalculations!A514="DS Node",'Characteristics&amp;Parameters'!$B$8,""))</f>
        <v/>
      </c>
      <c r="C514" s="8"/>
      <c r="E514" s="7" t="s">
        <v>25</v>
      </c>
      <c r="F514" s="8" t="s">
        <v>25</v>
      </c>
      <c r="I514" s="7" t="str">
        <f>IF(I513&lt;'Characteristics&amp;Parameters'!$B$17,ConcentrationsCalculations!I513+1,IF(I513="DS Node","",IF(I513="","","DS Node")))</f>
        <v/>
      </c>
      <c r="J514" s="13" t="str">
        <f>IF(I514="DS Node",'Characteristics&amp;Parameters'!$B$8,IF(I514&lt;='Characteristics&amp;Parameters'!$B$17,((1-'Characteristics&amp;Parameters'!$B$19)*ConcentrationsCalculations!F514+'Characteristics&amp;Parameters'!$B$19*ConcentrationsCalculations!F513-F514/86400*'Characteristics&amp;Parameters'!$B$11*'Characteristics&amp;Parameters'!$B$12),""))</f>
        <v/>
      </c>
    </row>
    <row r="515" spans="1:10" x14ac:dyDescent="0.5">
      <c r="A515" s="7" t="str">
        <f>IF(A514&lt;'Characteristics&amp;Parameters'!$B$17,ConcentrationsCalculations!A514+1,IF(A514="DS Node","",IF(A514="","","DS Node")))</f>
        <v/>
      </c>
      <c r="B515" s="8" t="str">
        <f>IF(A515&lt;='Characteristics&amp;Parameters'!$B$17,'Characteristics&amp;Parameters'!$B$7,IF(ConcentrationsCalculations!A515="DS Node",'Characteristics&amp;Parameters'!$B$8,""))</f>
        <v/>
      </c>
      <c r="C515" s="8"/>
      <c r="E515" s="7" t="s">
        <v>25</v>
      </c>
      <c r="F515" s="8" t="s">
        <v>25</v>
      </c>
      <c r="I515" s="7" t="str">
        <f>IF(I514&lt;'Characteristics&amp;Parameters'!$B$17,ConcentrationsCalculations!I514+1,IF(I514="DS Node","",IF(I514="","","DS Node")))</f>
        <v/>
      </c>
      <c r="J515" s="13" t="str">
        <f>IF(I515="DS Node",'Characteristics&amp;Parameters'!$B$8,IF(I515&lt;='Characteristics&amp;Parameters'!$B$17,((1-'Characteristics&amp;Parameters'!$B$19)*ConcentrationsCalculations!F515+'Characteristics&amp;Parameters'!$B$19*ConcentrationsCalculations!F514-F515/86400*'Characteristics&amp;Parameters'!$B$11*'Characteristics&amp;Parameters'!$B$12),""))</f>
        <v/>
      </c>
    </row>
    <row r="516" spans="1:10" x14ac:dyDescent="0.5">
      <c r="A516" s="7" t="str">
        <f>IF(A515&lt;'Characteristics&amp;Parameters'!$B$17,ConcentrationsCalculations!A515+1,IF(A515="DS Node","",IF(A515="","","DS Node")))</f>
        <v/>
      </c>
      <c r="B516" s="8" t="str">
        <f>IF(A516&lt;='Characteristics&amp;Parameters'!$B$17,'Characteristics&amp;Parameters'!$B$7,IF(ConcentrationsCalculations!A516="DS Node",'Characteristics&amp;Parameters'!$B$8,""))</f>
        <v/>
      </c>
      <c r="C516" s="8"/>
      <c r="E516" s="7" t="s">
        <v>25</v>
      </c>
      <c r="F516" s="8" t="s">
        <v>25</v>
      </c>
      <c r="I516" s="7" t="str">
        <f>IF(I515&lt;'Characteristics&amp;Parameters'!$B$17,ConcentrationsCalculations!I515+1,IF(I515="DS Node","",IF(I515="","","DS Node")))</f>
        <v/>
      </c>
      <c r="J516" s="13" t="str">
        <f>IF(I516="DS Node",'Characteristics&amp;Parameters'!$B$8,IF(I516&lt;='Characteristics&amp;Parameters'!$B$17,((1-'Characteristics&amp;Parameters'!$B$19)*ConcentrationsCalculations!F516+'Characteristics&amp;Parameters'!$B$19*ConcentrationsCalculations!F515-F516/86400*'Characteristics&amp;Parameters'!$B$11*'Characteristics&amp;Parameters'!$B$12),""))</f>
        <v/>
      </c>
    </row>
    <row r="517" spans="1:10" x14ac:dyDescent="0.5">
      <c r="A517" s="7" t="str">
        <f>IF(A516&lt;'Characteristics&amp;Parameters'!$B$17,ConcentrationsCalculations!A516+1,IF(A516="DS Node","",IF(A516="","","DS Node")))</f>
        <v/>
      </c>
      <c r="B517" s="8" t="str">
        <f>IF(A517&lt;='Characteristics&amp;Parameters'!$B$17,'Characteristics&amp;Parameters'!$B$7,IF(ConcentrationsCalculations!A517="DS Node",'Characteristics&amp;Parameters'!$B$8,""))</f>
        <v/>
      </c>
      <c r="C517" s="8"/>
      <c r="E517" s="7" t="s">
        <v>25</v>
      </c>
      <c r="F517" s="8" t="s">
        <v>25</v>
      </c>
      <c r="I517" s="7" t="str">
        <f>IF(I516&lt;'Characteristics&amp;Parameters'!$B$17,ConcentrationsCalculations!I516+1,IF(I516="DS Node","",IF(I516="","","DS Node")))</f>
        <v/>
      </c>
      <c r="J517" s="13" t="str">
        <f>IF(I517="DS Node",'Characteristics&amp;Parameters'!$B$8,IF(I517&lt;='Characteristics&amp;Parameters'!$B$17,((1-'Characteristics&amp;Parameters'!$B$19)*ConcentrationsCalculations!F517+'Characteristics&amp;Parameters'!$B$19*ConcentrationsCalculations!F516-F517/86400*'Characteristics&amp;Parameters'!$B$11*'Characteristics&amp;Parameters'!$B$12),""))</f>
        <v/>
      </c>
    </row>
    <row r="518" spans="1:10" x14ac:dyDescent="0.5">
      <c r="A518" s="7" t="str">
        <f>IF(A517&lt;'Characteristics&amp;Parameters'!$B$17,ConcentrationsCalculations!A517+1,IF(A517="DS Node","",IF(A517="","","DS Node")))</f>
        <v/>
      </c>
      <c r="B518" s="8" t="str">
        <f>IF(A518&lt;='Characteristics&amp;Parameters'!$B$17,'Characteristics&amp;Parameters'!$B$7,IF(ConcentrationsCalculations!A518="DS Node",'Characteristics&amp;Parameters'!$B$8,""))</f>
        <v/>
      </c>
      <c r="C518" s="8"/>
      <c r="E518" s="7" t="s">
        <v>25</v>
      </c>
      <c r="F518" s="8" t="s">
        <v>25</v>
      </c>
      <c r="I518" s="7" t="str">
        <f>IF(I517&lt;'Characteristics&amp;Parameters'!$B$17,ConcentrationsCalculations!I517+1,IF(I517="DS Node","",IF(I517="","","DS Node")))</f>
        <v/>
      </c>
      <c r="J518" s="13" t="str">
        <f>IF(I518="DS Node",'Characteristics&amp;Parameters'!$B$8,IF(I518&lt;='Characteristics&amp;Parameters'!$B$17,((1-'Characteristics&amp;Parameters'!$B$19)*ConcentrationsCalculations!F518+'Characteristics&amp;Parameters'!$B$19*ConcentrationsCalculations!F517-F518/86400*'Characteristics&amp;Parameters'!$B$11*'Characteristics&amp;Parameters'!$B$12),""))</f>
        <v/>
      </c>
    </row>
    <row r="519" spans="1:10" x14ac:dyDescent="0.5">
      <c r="A519" s="7" t="str">
        <f>IF(A518&lt;'Characteristics&amp;Parameters'!$B$17,ConcentrationsCalculations!A518+1,IF(A518="DS Node","",IF(A518="","","DS Node")))</f>
        <v/>
      </c>
      <c r="B519" s="8" t="str">
        <f>IF(A519&lt;='Characteristics&amp;Parameters'!$B$17,'Characteristics&amp;Parameters'!$B$7,IF(ConcentrationsCalculations!A519="DS Node",'Characteristics&amp;Parameters'!$B$8,""))</f>
        <v/>
      </c>
      <c r="C519" s="8"/>
      <c r="E519" s="7" t="s">
        <v>25</v>
      </c>
      <c r="F519" s="8" t="s">
        <v>25</v>
      </c>
      <c r="I519" s="7" t="str">
        <f>IF(I518&lt;'Characteristics&amp;Parameters'!$B$17,ConcentrationsCalculations!I518+1,IF(I518="DS Node","",IF(I518="","","DS Node")))</f>
        <v/>
      </c>
      <c r="J519" s="13" t="str">
        <f>IF(I519="DS Node",'Characteristics&amp;Parameters'!$B$8,IF(I519&lt;='Characteristics&amp;Parameters'!$B$17,((1-'Characteristics&amp;Parameters'!$B$19)*ConcentrationsCalculations!F519+'Characteristics&amp;Parameters'!$B$19*ConcentrationsCalculations!F518-F519/86400*'Characteristics&amp;Parameters'!$B$11*'Characteristics&amp;Parameters'!$B$12),""))</f>
        <v/>
      </c>
    </row>
    <row r="520" spans="1:10" x14ac:dyDescent="0.5">
      <c r="A520" s="7" t="str">
        <f>IF(A519&lt;'Characteristics&amp;Parameters'!$B$17,ConcentrationsCalculations!A519+1,IF(A519="DS Node","",IF(A519="","","DS Node")))</f>
        <v/>
      </c>
      <c r="B520" s="8" t="str">
        <f>IF(A520&lt;='Characteristics&amp;Parameters'!$B$17,'Characteristics&amp;Parameters'!$B$7,IF(ConcentrationsCalculations!A520="DS Node",'Characteristics&amp;Parameters'!$B$8,""))</f>
        <v/>
      </c>
      <c r="C520" s="8"/>
      <c r="E520" s="7" t="s">
        <v>25</v>
      </c>
      <c r="F520" s="8" t="s">
        <v>25</v>
      </c>
      <c r="I520" s="7" t="str">
        <f>IF(I519&lt;'Characteristics&amp;Parameters'!$B$17,ConcentrationsCalculations!I519+1,IF(I519="DS Node","",IF(I519="","","DS Node")))</f>
        <v/>
      </c>
      <c r="J520" s="13" t="str">
        <f>IF(I520="DS Node",'Characteristics&amp;Parameters'!$B$8,IF(I520&lt;='Characteristics&amp;Parameters'!$B$17,((1-'Characteristics&amp;Parameters'!$B$19)*ConcentrationsCalculations!F520+'Characteristics&amp;Parameters'!$B$19*ConcentrationsCalculations!F519-F520/86400*'Characteristics&amp;Parameters'!$B$11*'Characteristics&amp;Parameters'!$B$12),""))</f>
        <v/>
      </c>
    </row>
    <row r="521" spans="1:10" x14ac:dyDescent="0.5">
      <c r="A521" s="7" t="str">
        <f>IF(A520&lt;'Characteristics&amp;Parameters'!$B$17,ConcentrationsCalculations!A520+1,IF(A520="DS Node","",IF(A520="","","DS Node")))</f>
        <v/>
      </c>
      <c r="B521" s="8" t="str">
        <f>IF(A521&lt;='Characteristics&amp;Parameters'!$B$17,'Characteristics&amp;Parameters'!$B$7,IF(ConcentrationsCalculations!A521="DS Node",'Characteristics&amp;Parameters'!$B$8,""))</f>
        <v/>
      </c>
      <c r="C521" s="8"/>
      <c r="E521" s="7" t="s">
        <v>25</v>
      </c>
      <c r="F521" s="8" t="s">
        <v>25</v>
      </c>
      <c r="I521" s="7" t="str">
        <f>IF(I520&lt;'Characteristics&amp;Parameters'!$B$17,ConcentrationsCalculations!I520+1,IF(I520="DS Node","",IF(I520="","","DS Node")))</f>
        <v/>
      </c>
      <c r="J521" s="13" t="str">
        <f>IF(I521="DS Node",'Characteristics&amp;Parameters'!$B$8,IF(I521&lt;='Characteristics&amp;Parameters'!$B$17,((1-'Characteristics&amp;Parameters'!$B$19)*ConcentrationsCalculations!F521+'Characteristics&amp;Parameters'!$B$19*ConcentrationsCalculations!F520-F521/86400*'Characteristics&amp;Parameters'!$B$11*'Characteristics&amp;Parameters'!$B$12),""))</f>
        <v/>
      </c>
    </row>
    <row r="522" spans="1:10" x14ac:dyDescent="0.5">
      <c r="A522" s="7" t="str">
        <f>IF(A521&lt;'Characteristics&amp;Parameters'!$B$17,ConcentrationsCalculations!A521+1,IF(A521="DS Node","",IF(A521="","","DS Node")))</f>
        <v/>
      </c>
      <c r="B522" s="8" t="str">
        <f>IF(A522&lt;='Characteristics&amp;Parameters'!$B$17,'Characteristics&amp;Parameters'!$B$7,IF(ConcentrationsCalculations!A522="DS Node",'Characteristics&amp;Parameters'!$B$8,""))</f>
        <v/>
      </c>
      <c r="C522" s="8"/>
      <c r="E522" s="7" t="s">
        <v>25</v>
      </c>
      <c r="F522" s="8" t="s">
        <v>25</v>
      </c>
      <c r="I522" s="7" t="str">
        <f>IF(I521&lt;'Characteristics&amp;Parameters'!$B$17,ConcentrationsCalculations!I521+1,IF(I521="DS Node","",IF(I521="","","DS Node")))</f>
        <v/>
      </c>
      <c r="J522" s="13" t="str">
        <f>IF(I522="DS Node",'Characteristics&amp;Parameters'!$B$8,IF(I522&lt;='Characteristics&amp;Parameters'!$B$17,((1-'Characteristics&amp;Parameters'!$B$19)*ConcentrationsCalculations!F522+'Characteristics&amp;Parameters'!$B$19*ConcentrationsCalculations!F521-F522/86400*'Characteristics&amp;Parameters'!$B$11*'Characteristics&amp;Parameters'!$B$12),""))</f>
        <v/>
      </c>
    </row>
    <row r="523" spans="1:10" x14ac:dyDescent="0.5">
      <c r="A523" s="7" t="str">
        <f>IF(A522&lt;'Characteristics&amp;Parameters'!$B$17,ConcentrationsCalculations!A522+1,IF(A522="DS Node","",IF(A522="","","DS Node")))</f>
        <v/>
      </c>
      <c r="B523" s="8" t="str">
        <f>IF(A523&lt;='Characteristics&amp;Parameters'!$B$17,'Characteristics&amp;Parameters'!$B$7,IF(ConcentrationsCalculations!A523="DS Node",'Characteristics&amp;Parameters'!$B$8,""))</f>
        <v/>
      </c>
      <c r="C523" s="8"/>
      <c r="E523" s="7" t="s">
        <v>25</v>
      </c>
      <c r="F523" s="8" t="s">
        <v>25</v>
      </c>
      <c r="I523" s="7" t="str">
        <f>IF(I522&lt;'Characteristics&amp;Parameters'!$B$17,ConcentrationsCalculations!I522+1,IF(I522="DS Node","",IF(I522="","","DS Node")))</f>
        <v/>
      </c>
      <c r="J523" s="13" t="str">
        <f>IF(I523="DS Node",'Characteristics&amp;Parameters'!$B$8,IF(I523&lt;='Characteristics&amp;Parameters'!$B$17,((1-'Characteristics&amp;Parameters'!$B$19)*ConcentrationsCalculations!F523+'Characteristics&amp;Parameters'!$B$19*ConcentrationsCalculations!F522-F523/86400*'Characteristics&amp;Parameters'!$B$11*'Characteristics&amp;Parameters'!$B$12),""))</f>
        <v/>
      </c>
    </row>
    <row r="524" spans="1:10" x14ac:dyDescent="0.5">
      <c r="A524" s="7" t="str">
        <f>IF(A523&lt;'Characteristics&amp;Parameters'!$B$17,ConcentrationsCalculations!A523+1,IF(A523="DS Node","",IF(A523="","","DS Node")))</f>
        <v/>
      </c>
      <c r="B524" s="8" t="str">
        <f>IF(A524&lt;='Characteristics&amp;Parameters'!$B$17,'Characteristics&amp;Parameters'!$B$7,IF(ConcentrationsCalculations!A524="DS Node",'Characteristics&amp;Parameters'!$B$8,""))</f>
        <v/>
      </c>
      <c r="C524" s="8"/>
      <c r="E524" s="7" t="s">
        <v>25</v>
      </c>
      <c r="F524" s="8" t="s">
        <v>25</v>
      </c>
      <c r="I524" s="7" t="str">
        <f>IF(I523&lt;'Characteristics&amp;Parameters'!$B$17,ConcentrationsCalculations!I523+1,IF(I523="DS Node","",IF(I523="","","DS Node")))</f>
        <v/>
      </c>
      <c r="J524" s="13" t="str">
        <f>IF(I524="DS Node",'Characteristics&amp;Parameters'!$B$8,IF(I524&lt;='Characteristics&amp;Parameters'!$B$17,((1-'Characteristics&amp;Parameters'!$B$19)*ConcentrationsCalculations!F524+'Characteristics&amp;Parameters'!$B$19*ConcentrationsCalculations!F523-F524/86400*'Characteristics&amp;Parameters'!$B$11*'Characteristics&amp;Parameters'!$B$12),""))</f>
        <v/>
      </c>
    </row>
    <row r="525" spans="1:10" x14ac:dyDescent="0.5">
      <c r="A525" s="7" t="str">
        <f>IF(A524&lt;'Characteristics&amp;Parameters'!$B$17,ConcentrationsCalculations!A524+1,IF(A524="DS Node","",IF(A524="","","DS Node")))</f>
        <v/>
      </c>
      <c r="B525" s="8" t="str">
        <f>IF(A525&lt;='Characteristics&amp;Parameters'!$B$17,'Characteristics&amp;Parameters'!$B$7,IF(ConcentrationsCalculations!A525="DS Node",'Characteristics&amp;Parameters'!$B$8,""))</f>
        <v/>
      </c>
      <c r="C525" s="8"/>
      <c r="E525" s="7" t="s">
        <v>25</v>
      </c>
      <c r="F525" s="8" t="s">
        <v>25</v>
      </c>
      <c r="I525" s="7" t="str">
        <f>IF(I524&lt;'Characteristics&amp;Parameters'!$B$17,ConcentrationsCalculations!I524+1,IF(I524="DS Node","",IF(I524="","","DS Node")))</f>
        <v/>
      </c>
      <c r="J525" s="13" t="str">
        <f>IF(I525="DS Node",'Characteristics&amp;Parameters'!$B$8,IF(I525&lt;='Characteristics&amp;Parameters'!$B$17,((1-'Characteristics&amp;Parameters'!$B$19)*ConcentrationsCalculations!F525+'Characteristics&amp;Parameters'!$B$19*ConcentrationsCalculations!F524-F525/86400*'Characteristics&amp;Parameters'!$B$11*'Characteristics&amp;Parameters'!$B$12),""))</f>
        <v/>
      </c>
    </row>
    <row r="526" spans="1:10" x14ac:dyDescent="0.5">
      <c r="A526" s="7" t="str">
        <f>IF(A525&lt;'Characteristics&amp;Parameters'!$B$17,ConcentrationsCalculations!A525+1,IF(A525="DS Node","",IF(A525="","","DS Node")))</f>
        <v/>
      </c>
      <c r="B526" s="8" t="str">
        <f>IF(A526&lt;='Characteristics&amp;Parameters'!$B$17,'Characteristics&amp;Parameters'!$B$7,IF(ConcentrationsCalculations!A526="DS Node",'Characteristics&amp;Parameters'!$B$8,""))</f>
        <v/>
      </c>
      <c r="C526" s="8"/>
      <c r="E526" s="7" t="s">
        <v>25</v>
      </c>
      <c r="F526" s="8" t="s">
        <v>25</v>
      </c>
      <c r="I526" s="7" t="str">
        <f>IF(I525&lt;'Characteristics&amp;Parameters'!$B$17,ConcentrationsCalculations!I525+1,IF(I525="DS Node","",IF(I525="","","DS Node")))</f>
        <v/>
      </c>
      <c r="J526" s="13" t="str">
        <f>IF(I526="DS Node",'Characteristics&amp;Parameters'!$B$8,IF(I526&lt;='Characteristics&amp;Parameters'!$B$17,((1-'Characteristics&amp;Parameters'!$B$19)*ConcentrationsCalculations!F526+'Characteristics&amp;Parameters'!$B$19*ConcentrationsCalculations!F525-F526/86400*'Characteristics&amp;Parameters'!$B$11*'Characteristics&amp;Parameters'!$B$12),""))</f>
        <v/>
      </c>
    </row>
    <row r="527" spans="1:10" x14ac:dyDescent="0.5">
      <c r="A527" s="7" t="str">
        <f>IF(A526&lt;'Characteristics&amp;Parameters'!$B$17,ConcentrationsCalculations!A526+1,IF(A526="DS Node","",IF(A526="","","DS Node")))</f>
        <v/>
      </c>
      <c r="B527" s="8" t="str">
        <f>IF(A527&lt;='Characteristics&amp;Parameters'!$B$17,'Characteristics&amp;Parameters'!$B$7,IF(ConcentrationsCalculations!A527="DS Node",'Characteristics&amp;Parameters'!$B$8,""))</f>
        <v/>
      </c>
      <c r="C527" s="8"/>
      <c r="E527" s="7" t="s">
        <v>25</v>
      </c>
      <c r="F527" s="8" t="s">
        <v>25</v>
      </c>
      <c r="I527" s="7" t="str">
        <f>IF(I526&lt;'Characteristics&amp;Parameters'!$B$17,ConcentrationsCalculations!I526+1,IF(I526="DS Node","",IF(I526="","","DS Node")))</f>
        <v/>
      </c>
      <c r="J527" s="13" t="str">
        <f>IF(I527="DS Node",'Characteristics&amp;Parameters'!$B$8,IF(I527&lt;='Characteristics&amp;Parameters'!$B$17,((1-'Characteristics&amp;Parameters'!$B$19)*ConcentrationsCalculations!F527+'Characteristics&amp;Parameters'!$B$19*ConcentrationsCalculations!F526-F527/86400*'Characteristics&amp;Parameters'!$B$11*'Characteristics&amp;Parameters'!$B$12),""))</f>
        <v/>
      </c>
    </row>
    <row r="528" spans="1:10" x14ac:dyDescent="0.5">
      <c r="A528" s="7" t="str">
        <f>IF(A527&lt;'Characteristics&amp;Parameters'!$B$17,ConcentrationsCalculations!A527+1,IF(A527="DS Node","",IF(A527="","","DS Node")))</f>
        <v/>
      </c>
      <c r="B528" s="8" t="str">
        <f>IF(A528&lt;='Characteristics&amp;Parameters'!$B$17,'Characteristics&amp;Parameters'!$B$7,IF(ConcentrationsCalculations!A528="DS Node",'Characteristics&amp;Parameters'!$B$8,""))</f>
        <v/>
      </c>
      <c r="C528" s="8"/>
      <c r="E528" s="7" t="s">
        <v>25</v>
      </c>
      <c r="F528" s="8" t="s">
        <v>25</v>
      </c>
      <c r="I528" s="7" t="str">
        <f>IF(I527&lt;'Characteristics&amp;Parameters'!$B$17,ConcentrationsCalculations!I527+1,IF(I527="DS Node","",IF(I527="","","DS Node")))</f>
        <v/>
      </c>
      <c r="J528" s="13" t="str">
        <f>IF(I528="DS Node",'Characteristics&amp;Parameters'!$B$8,IF(I528&lt;='Characteristics&amp;Parameters'!$B$17,((1-'Characteristics&amp;Parameters'!$B$19)*ConcentrationsCalculations!F528+'Characteristics&amp;Parameters'!$B$19*ConcentrationsCalculations!F527-F528/86400*'Characteristics&amp;Parameters'!$B$11*'Characteristics&amp;Parameters'!$B$12),""))</f>
        <v/>
      </c>
    </row>
    <row r="529" spans="1:10" x14ac:dyDescent="0.5">
      <c r="A529" s="7" t="str">
        <f>IF(A528&lt;'Characteristics&amp;Parameters'!$B$17,ConcentrationsCalculations!A528+1,IF(A528="DS Node","",IF(A528="","","DS Node")))</f>
        <v/>
      </c>
      <c r="B529" s="8" t="str">
        <f>IF(A529&lt;='Characteristics&amp;Parameters'!$B$17,'Characteristics&amp;Parameters'!$B$7,IF(ConcentrationsCalculations!A529="DS Node",'Characteristics&amp;Parameters'!$B$8,""))</f>
        <v/>
      </c>
      <c r="C529" s="8"/>
      <c r="E529" s="7" t="s">
        <v>25</v>
      </c>
      <c r="F529" s="8" t="s">
        <v>25</v>
      </c>
      <c r="I529" s="7" t="str">
        <f>IF(I528&lt;'Characteristics&amp;Parameters'!$B$17,ConcentrationsCalculations!I528+1,IF(I528="DS Node","",IF(I528="","","DS Node")))</f>
        <v/>
      </c>
      <c r="J529" s="13" t="str">
        <f>IF(I529="DS Node",'Characteristics&amp;Parameters'!$B$8,IF(I529&lt;='Characteristics&amp;Parameters'!$B$17,((1-'Characteristics&amp;Parameters'!$B$19)*ConcentrationsCalculations!F529+'Characteristics&amp;Parameters'!$B$19*ConcentrationsCalculations!F528-F529/86400*'Characteristics&amp;Parameters'!$B$11*'Characteristics&amp;Parameters'!$B$12),""))</f>
        <v/>
      </c>
    </row>
    <row r="530" spans="1:10" x14ac:dyDescent="0.5">
      <c r="A530" s="7" t="str">
        <f>IF(A529&lt;'Characteristics&amp;Parameters'!$B$17,ConcentrationsCalculations!A529+1,IF(A529="DS Node","",IF(A529="","","DS Node")))</f>
        <v/>
      </c>
      <c r="B530" s="8" t="str">
        <f>IF(A530&lt;='Characteristics&amp;Parameters'!$B$17,'Characteristics&amp;Parameters'!$B$7,IF(ConcentrationsCalculations!A530="DS Node",'Characteristics&amp;Parameters'!$B$8,""))</f>
        <v/>
      </c>
      <c r="C530" s="8"/>
      <c r="E530" s="7" t="s">
        <v>25</v>
      </c>
      <c r="F530" s="8" t="s">
        <v>25</v>
      </c>
      <c r="I530" s="7" t="str">
        <f>IF(I529&lt;'Characteristics&amp;Parameters'!$B$17,ConcentrationsCalculations!I529+1,IF(I529="DS Node","",IF(I529="","","DS Node")))</f>
        <v/>
      </c>
      <c r="J530" s="13" t="str">
        <f>IF(I530="DS Node",'Characteristics&amp;Parameters'!$B$8,IF(I530&lt;='Characteristics&amp;Parameters'!$B$17,((1-'Characteristics&amp;Parameters'!$B$19)*ConcentrationsCalculations!F530+'Characteristics&amp;Parameters'!$B$19*ConcentrationsCalculations!F529-F530/86400*'Characteristics&amp;Parameters'!$B$11*'Characteristics&amp;Parameters'!$B$12),""))</f>
        <v/>
      </c>
    </row>
    <row r="531" spans="1:10" x14ac:dyDescent="0.5">
      <c r="A531" s="7" t="str">
        <f>IF(A530&lt;'Characteristics&amp;Parameters'!$B$17,ConcentrationsCalculations!A530+1,IF(A530="DS Node","",IF(A530="","","DS Node")))</f>
        <v/>
      </c>
      <c r="B531" s="8" t="str">
        <f>IF(A531&lt;='Characteristics&amp;Parameters'!$B$17,'Characteristics&amp;Parameters'!$B$7,IF(ConcentrationsCalculations!A531="DS Node",'Characteristics&amp;Parameters'!$B$8,""))</f>
        <v/>
      </c>
      <c r="C531" s="8"/>
      <c r="E531" s="7" t="s">
        <v>25</v>
      </c>
      <c r="F531" s="8" t="s">
        <v>25</v>
      </c>
      <c r="I531" s="7" t="str">
        <f>IF(I530&lt;'Characteristics&amp;Parameters'!$B$17,ConcentrationsCalculations!I530+1,IF(I530="DS Node","",IF(I530="","","DS Node")))</f>
        <v/>
      </c>
      <c r="J531" s="13" t="str">
        <f>IF(I531="DS Node",'Characteristics&amp;Parameters'!$B$8,IF(I531&lt;='Characteristics&amp;Parameters'!$B$17,((1-'Characteristics&amp;Parameters'!$B$19)*ConcentrationsCalculations!F531+'Characteristics&amp;Parameters'!$B$19*ConcentrationsCalculations!F530-F531/86400*'Characteristics&amp;Parameters'!$B$11*'Characteristics&amp;Parameters'!$B$12),""))</f>
        <v/>
      </c>
    </row>
    <row r="532" spans="1:10" x14ac:dyDescent="0.5">
      <c r="A532" s="7" t="str">
        <f>IF(A531&lt;'Characteristics&amp;Parameters'!$B$17,ConcentrationsCalculations!A531+1,IF(A531="DS Node","",IF(A531="","","DS Node")))</f>
        <v/>
      </c>
      <c r="B532" s="8" t="str">
        <f>IF(A532&lt;='Characteristics&amp;Parameters'!$B$17,'Characteristics&amp;Parameters'!$B$7,IF(ConcentrationsCalculations!A532="DS Node",'Characteristics&amp;Parameters'!$B$8,""))</f>
        <v/>
      </c>
      <c r="C532" s="8"/>
      <c r="E532" s="7" t="s">
        <v>25</v>
      </c>
      <c r="F532" s="8" t="s">
        <v>25</v>
      </c>
      <c r="I532" s="7" t="str">
        <f>IF(I531&lt;'Characteristics&amp;Parameters'!$B$17,ConcentrationsCalculations!I531+1,IF(I531="DS Node","",IF(I531="","","DS Node")))</f>
        <v/>
      </c>
      <c r="J532" s="13" t="str">
        <f>IF(I532="DS Node",'Characteristics&amp;Parameters'!$B$8,IF(I532&lt;='Characteristics&amp;Parameters'!$B$17,((1-'Characteristics&amp;Parameters'!$B$19)*ConcentrationsCalculations!F532+'Characteristics&amp;Parameters'!$B$19*ConcentrationsCalculations!F531-F532/86400*'Characteristics&amp;Parameters'!$B$11*'Characteristics&amp;Parameters'!$B$12),""))</f>
        <v/>
      </c>
    </row>
    <row r="533" spans="1:10" x14ac:dyDescent="0.5">
      <c r="A533" s="7" t="str">
        <f>IF(A532&lt;'Characteristics&amp;Parameters'!$B$17,ConcentrationsCalculations!A532+1,IF(A532="DS Node","",IF(A532="","","DS Node")))</f>
        <v/>
      </c>
      <c r="B533" s="8" t="str">
        <f>IF(A533&lt;='Characteristics&amp;Parameters'!$B$17,'Characteristics&amp;Parameters'!$B$7,IF(ConcentrationsCalculations!A533="DS Node",'Characteristics&amp;Parameters'!$B$8,""))</f>
        <v/>
      </c>
      <c r="C533" s="8"/>
      <c r="E533" s="7" t="s">
        <v>25</v>
      </c>
      <c r="F533" s="8" t="s">
        <v>25</v>
      </c>
      <c r="I533" s="7" t="str">
        <f>IF(I532&lt;'Characteristics&amp;Parameters'!$B$17,ConcentrationsCalculations!I532+1,IF(I532="DS Node","",IF(I532="","","DS Node")))</f>
        <v/>
      </c>
      <c r="J533" s="13" t="str">
        <f>IF(I533="DS Node",'Characteristics&amp;Parameters'!$B$8,IF(I533&lt;='Characteristics&amp;Parameters'!$B$17,((1-'Characteristics&amp;Parameters'!$B$19)*ConcentrationsCalculations!F533+'Characteristics&amp;Parameters'!$B$19*ConcentrationsCalculations!F532-F533/86400*'Characteristics&amp;Parameters'!$B$11*'Characteristics&amp;Parameters'!$B$12),""))</f>
        <v/>
      </c>
    </row>
    <row r="534" spans="1:10" x14ac:dyDescent="0.5">
      <c r="A534" s="7" t="str">
        <f>IF(A533&lt;'Characteristics&amp;Parameters'!$B$17,ConcentrationsCalculations!A533+1,IF(A533="DS Node","",IF(A533="","","DS Node")))</f>
        <v/>
      </c>
      <c r="B534" s="8" t="str">
        <f>IF(A534&lt;='Characteristics&amp;Parameters'!$B$17,'Characteristics&amp;Parameters'!$B$7,IF(ConcentrationsCalculations!A534="DS Node",'Characteristics&amp;Parameters'!$B$8,""))</f>
        <v/>
      </c>
      <c r="C534" s="8"/>
      <c r="E534" s="7" t="s">
        <v>25</v>
      </c>
      <c r="F534" s="8" t="s">
        <v>25</v>
      </c>
      <c r="I534" s="7" t="str">
        <f>IF(I533&lt;'Characteristics&amp;Parameters'!$B$17,ConcentrationsCalculations!I533+1,IF(I533="DS Node","",IF(I533="","","DS Node")))</f>
        <v/>
      </c>
      <c r="J534" s="13" t="str">
        <f>IF(I534="DS Node",'Characteristics&amp;Parameters'!$B$8,IF(I534&lt;='Characteristics&amp;Parameters'!$B$17,((1-'Characteristics&amp;Parameters'!$B$19)*ConcentrationsCalculations!F534+'Characteristics&amp;Parameters'!$B$19*ConcentrationsCalculations!F533-F534/86400*'Characteristics&amp;Parameters'!$B$11*'Characteristics&amp;Parameters'!$B$12),""))</f>
        <v/>
      </c>
    </row>
    <row r="535" spans="1:10" x14ac:dyDescent="0.5">
      <c r="A535" s="7" t="str">
        <f>IF(A534&lt;'Characteristics&amp;Parameters'!$B$17,ConcentrationsCalculations!A534+1,IF(A534="DS Node","",IF(A534="","","DS Node")))</f>
        <v/>
      </c>
      <c r="B535" s="8" t="str">
        <f>IF(A535&lt;='Characteristics&amp;Parameters'!$B$17,'Characteristics&amp;Parameters'!$B$7,IF(ConcentrationsCalculations!A535="DS Node",'Characteristics&amp;Parameters'!$B$8,""))</f>
        <v/>
      </c>
      <c r="C535" s="8"/>
      <c r="E535" s="7" t="s">
        <v>25</v>
      </c>
      <c r="F535" s="8" t="s">
        <v>25</v>
      </c>
      <c r="I535" s="7" t="str">
        <f>IF(I534&lt;'Characteristics&amp;Parameters'!$B$17,ConcentrationsCalculations!I534+1,IF(I534="DS Node","",IF(I534="","","DS Node")))</f>
        <v/>
      </c>
      <c r="J535" s="13" t="str">
        <f>IF(I535="DS Node",'Characteristics&amp;Parameters'!$B$8,IF(I535&lt;='Characteristics&amp;Parameters'!$B$17,((1-'Characteristics&amp;Parameters'!$B$19)*ConcentrationsCalculations!F535+'Characteristics&amp;Parameters'!$B$19*ConcentrationsCalculations!F534-F535/86400*'Characteristics&amp;Parameters'!$B$11*'Characteristics&amp;Parameters'!$B$12),""))</f>
        <v/>
      </c>
    </row>
    <row r="536" spans="1:10" x14ac:dyDescent="0.5">
      <c r="A536" s="7" t="str">
        <f>IF(A535&lt;'Characteristics&amp;Parameters'!$B$17,ConcentrationsCalculations!A535+1,IF(A535="DS Node","",IF(A535="","","DS Node")))</f>
        <v/>
      </c>
      <c r="B536" s="8" t="str">
        <f>IF(A536&lt;='Characteristics&amp;Parameters'!$B$17,'Characteristics&amp;Parameters'!$B$7,IF(ConcentrationsCalculations!A536="DS Node",'Characteristics&amp;Parameters'!$B$8,""))</f>
        <v/>
      </c>
      <c r="C536" s="8"/>
      <c r="E536" s="7" t="s">
        <v>25</v>
      </c>
      <c r="F536" s="8" t="s">
        <v>25</v>
      </c>
      <c r="I536" s="7" t="str">
        <f>IF(I535&lt;'Characteristics&amp;Parameters'!$B$17,ConcentrationsCalculations!I535+1,IF(I535="DS Node","",IF(I535="","","DS Node")))</f>
        <v/>
      </c>
      <c r="J536" s="13" t="str">
        <f>IF(I536="DS Node",'Characteristics&amp;Parameters'!$B$8,IF(I536&lt;='Characteristics&amp;Parameters'!$B$17,((1-'Characteristics&amp;Parameters'!$B$19)*ConcentrationsCalculations!F536+'Characteristics&amp;Parameters'!$B$19*ConcentrationsCalculations!F535-F536/86400*'Characteristics&amp;Parameters'!$B$11*'Characteristics&amp;Parameters'!$B$12),""))</f>
        <v/>
      </c>
    </row>
    <row r="537" spans="1:10" x14ac:dyDescent="0.5">
      <c r="A537" s="7" t="str">
        <f>IF(A536&lt;'Characteristics&amp;Parameters'!$B$17,ConcentrationsCalculations!A536+1,IF(A536="DS Node","",IF(A536="","","DS Node")))</f>
        <v/>
      </c>
      <c r="B537" s="8" t="str">
        <f>IF(A537&lt;='Characteristics&amp;Parameters'!$B$17,'Characteristics&amp;Parameters'!$B$7,IF(ConcentrationsCalculations!A537="DS Node",'Characteristics&amp;Parameters'!$B$8,""))</f>
        <v/>
      </c>
      <c r="C537" s="8"/>
      <c r="E537" s="7" t="s">
        <v>25</v>
      </c>
      <c r="F537" s="8" t="s">
        <v>25</v>
      </c>
      <c r="I537" s="7" t="str">
        <f>IF(I536&lt;'Characteristics&amp;Parameters'!$B$17,ConcentrationsCalculations!I536+1,IF(I536="DS Node","",IF(I536="","","DS Node")))</f>
        <v/>
      </c>
      <c r="J537" s="13" t="str">
        <f>IF(I537="DS Node",'Characteristics&amp;Parameters'!$B$8,IF(I537&lt;='Characteristics&amp;Parameters'!$B$17,((1-'Characteristics&amp;Parameters'!$B$19)*ConcentrationsCalculations!F537+'Characteristics&amp;Parameters'!$B$19*ConcentrationsCalculations!F536-F537/86400*'Characteristics&amp;Parameters'!$B$11*'Characteristics&amp;Parameters'!$B$12),""))</f>
        <v/>
      </c>
    </row>
    <row r="538" spans="1:10" x14ac:dyDescent="0.5">
      <c r="A538" s="7" t="str">
        <f>IF(A537&lt;'Characteristics&amp;Parameters'!$B$17,ConcentrationsCalculations!A537+1,IF(A537="DS Node","",IF(A537="","","DS Node")))</f>
        <v/>
      </c>
      <c r="B538" s="8" t="str">
        <f>IF(A538&lt;='Characteristics&amp;Parameters'!$B$17,'Characteristics&amp;Parameters'!$B$7,IF(ConcentrationsCalculations!A538="DS Node",'Characteristics&amp;Parameters'!$B$8,""))</f>
        <v/>
      </c>
      <c r="C538" s="8"/>
      <c r="E538" s="7" t="s">
        <v>25</v>
      </c>
      <c r="F538" s="8" t="s">
        <v>25</v>
      </c>
      <c r="I538" s="7" t="str">
        <f>IF(I537&lt;'Characteristics&amp;Parameters'!$B$17,ConcentrationsCalculations!I537+1,IF(I537="DS Node","",IF(I537="","","DS Node")))</f>
        <v/>
      </c>
      <c r="J538" s="13" t="str">
        <f>IF(I538="DS Node",'Characteristics&amp;Parameters'!$B$8,IF(I538&lt;='Characteristics&amp;Parameters'!$B$17,((1-'Characteristics&amp;Parameters'!$B$19)*ConcentrationsCalculations!F538+'Characteristics&amp;Parameters'!$B$19*ConcentrationsCalculations!F537-F538/86400*'Characteristics&amp;Parameters'!$B$11*'Characteristics&amp;Parameters'!$B$12),""))</f>
        <v/>
      </c>
    </row>
    <row r="539" spans="1:10" x14ac:dyDescent="0.5">
      <c r="A539" s="7" t="str">
        <f>IF(A538&lt;'Characteristics&amp;Parameters'!$B$17,ConcentrationsCalculations!A538+1,IF(A538="DS Node","",IF(A538="","","DS Node")))</f>
        <v/>
      </c>
      <c r="B539" s="8" t="str">
        <f>IF(A539&lt;='Characteristics&amp;Parameters'!$B$17,'Characteristics&amp;Parameters'!$B$7,IF(ConcentrationsCalculations!A539="DS Node",'Characteristics&amp;Parameters'!$B$8,""))</f>
        <v/>
      </c>
      <c r="C539" s="8"/>
      <c r="E539" s="7" t="s">
        <v>25</v>
      </c>
      <c r="F539" s="8" t="s">
        <v>25</v>
      </c>
      <c r="I539" s="7" t="str">
        <f>IF(I538&lt;'Characteristics&amp;Parameters'!$B$17,ConcentrationsCalculations!I538+1,IF(I538="DS Node","",IF(I538="","","DS Node")))</f>
        <v/>
      </c>
      <c r="J539" s="13" t="str">
        <f>IF(I539="DS Node",'Characteristics&amp;Parameters'!$B$8,IF(I539&lt;='Characteristics&amp;Parameters'!$B$17,((1-'Characteristics&amp;Parameters'!$B$19)*ConcentrationsCalculations!F539+'Characteristics&amp;Parameters'!$B$19*ConcentrationsCalculations!F538-F539/86400*'Characteristics&amp;Parameters'!$B$11*'Characteristics&amp;Parameters'!$B$12),""))</f>
        <v/>
      </c>
    </row>
    <row r="540" spans="1:10" x14ac:dyDescent="0.5">
      <c r="A540" s="7" t="str">
        <f>IF(A539&lt;'Characteristics&amp;Parameters'!$B$17,ConcentrationsCalculations!A539+1,IF(A539="DS Node","",IF(A539="","","DS Node")))</f>
        <v/>
      </c>
      <c r="B540" s="8" t="str">
        <f>IF(A540&lt;='Characteristics&amp;Parameters'!$B$17,'Characteristics&amp;Parameters'!$B$7,IF(ConcentrationsCalculations!A540="DS Node",'Characteristics&amp;Parameters'!$B$8,""))</f>
        <v/>
      </c>
      <c r="C540" s="8"/>
      <c r="E540" s="7" t="s">
        <v>25</v>
      </c>
      <c r="F540" s="8" t="s">
        <v>25</v>
      </c>
      <c r="I540" s="7" t="str">
        <f>IF(I539&lt;'Characteristics&amp;Parameters'!$B$17,ConcentrationsCalculations!I539+1,IF(I539="DS Node","",IF(I539="","","DS Node")))</f>
        <v/>
      </c>
      <c r="J540" s="13" t="str">
        <f>IF(I540="DS Node",'Characteristics&amp;Parameters'!$B$8,IF(I540&lt;='Characteristics&amp;Parameters'!$B$17,((1-'Characteristics&amp;Parameters'!$B$19)*ConcentrationsCalculations!F540+'Characteristics&amp;Parameters'!$B$19*ConcentrationsCalculations!F539-F540/86400*'Characteristics&amp;Parameters'!$B$11*'Characteristics&amp;Parameters'!$B$12),""))</f>
        <v/>
      </c>
    </row>
    <row r="541" spans="1:10" x14ac:dyDescent="0.5">
      <c r="A541" s="7" t="str">
        <f>IF(A540&lt;'Characteristics&amp;Parameters'!$B$17,ConcentrationsCalculations!A540+1,IF(A540="DS Node","",IF(A540="","","DS Node")))</f>
        <v/>
      </c>
      <c r="B541" s="8" t="str">
        <f>IF(A541&lt;='Characteristics&amp;Parameters'!$B$17,'Characteristics&amp;Parameters'!$B$7,IF(ConcentrationsCalculations!A541="DS Node",'Characteristics&amp;Parameters'!$B$8,""))</f>
        <v/>
      </c>
      <c r="C541" s="8"/>
      <c r="E541" s="7" t="s">
        <v>25</v>
      </c>
      <c r="F541" s="8" t="s">
        <v>25</v>
      </c>
      <c r="I541" s="7" t="str">
        <f>IF(I540&lt;'Characteristics&amp;Parameters'!$B$17,ConcentrationsCalculations!I540+1,IF(I540="DS Node","",IF(I540="","","DS Node")))</f>
        <v/>
      </c>
      <c r="J541" s="13" t="str">
        <f>IF(I541="DS Node",'Characteristics&amp;Parameters'!$B$8,IF(I541&lt;='Characteristics&amp;Parameters'!$B$17,((1-'Characteristics&amp;Parameters'!$B$19)*ConcentrationsCalculations!F541+'Characteristics&amp;Parameters'!$B$19*ConcentrationsCalculations!F540-F541/86400*'Characteristics&amp;Parameters'!$B$11*'Characteristics&amp;Parameters'!$B$12),""))</f>
        <v/>
      </c>
    </row>
    <row r="542" spans="1:10" x14ac:dyDescent="0.5">
      <c r="A542" s="7" t="str">
        <f>IF(A541&lt;'Characteristics&amp;Parameters'!$B$17,ConcentrationsCalculations!A541+1,IF(A541="DS Node","",IF(A541="","","DS Node")))</f>
        <v/>
      </c>
      <c r="B542" s="8" t="str">
        <f>IF(A542&lt;='Characteristics&amp;Parameters'!$B$17,'Characteristics&amp;Parameters'!$B$7,IF(ConcentrationsCalculations!A542="DS Node",'Characteristics&amp;Parameters'!$B$8,""))</f>
        <v/>
      </c>
      <c r="C542" s="8"/>
      <c r="E542" s="7" t="s">
        <v>25</v>
      </c>
      <c r="F542" s="8" t="s">
        <v>25</v>
      </c>
      <c r="I542" s="7" t="str">
        <f>IF(I541&lt;'Characteristics&amp;Parameters'!$B$17,ConcentrationsCalculations!I541+1,IF(I541="DS Node","",IF(I541="","","DS Node")))</f>
        <v/>
      </c>
      <c r="J542" s="13" t="str">
        <f>IF(I542="DS Node",'Characteristics&amp;Parameters'!$B$8,IF(I542&lt;='Characteristics&amp;Parameters'!$B$17,((1-'Characteristics&amp;Parameters'!$B$19)*ConcentrationsCalculations!F542+'Characteristics&amp;Parameters'!$B$19*ConcentrationsCalculations!F541-F542/86400*'Characteristics&amp;Parameters'!$B$11*'Characteristics&amp;Parameters'!$B$12),""))</f>
        <v/>
      </c>
    </row>
    <row r="543" spans="1:10" x14ac:dyDescent="0.5">
      <c r="A543" s="7" t="str">
        <f>IF(A542&lt;'Characteristics&amp;Parameters'!$B$17,ConcentrationsCalculations!A542+1,IF(A542="DS Node","",IF(A542="","","DS Node")))</f>
        <v/>
      </c>
      <c r="B543" s="8" t="str">
        <f>IF(A543&lt;='Characteristics&amp;Parameters'!$B$17,'Characteristics&amp;Parameters'!$B$7,IF(ConcentrationsCalculations!A543="DS Node",'Characteristics&amp;Parameters'!$B$8,""))</f>
        <v/>
      </c>
      <c r="C543" s="8"/>
      <c r="E543" s="7" t="s">
        <v>25</v>
      </c>
      <c r="F543" s="8" t="s">
        <v>25</v>
      </c>
      <c r="I543" s="7" t="str">
        <f>IF(I542&lt;'Characteristics&amp;Parameters'!$B$17,ConcentrationsCalculations!I542+1,IF(I542="DS Node","",IF(I542="","","DS Node")))</f>
        <v/>
      </c>
      <c r="J543" s="13" t="str">
        <f>IF(I543="DS Node",'Characteristics&amp;Parameters'!$B$8,IF(I543&lt;='Characteristics&amp;Parameters'!$B$17,((1-'Characteristics&amp;Parameters'!$B$19)*ConcentrationsCalculations!F543+'Characteristics&amp;Parameters'!$B$19*ConcentrationsCalculations!F542-F543/86400*'Characteristics&amp;Parameters'!$B$11*'Characteristics&amp;Parameters'!$B$12),""))</f>
        <v/>
      </c>
    </row>
    <row r="544" spans="1:10" x14ac:dyDescent="0.5">
      <c r="A544" s="7" t="str">
        <f>IF(A543&lt;'Characteristics&amp;Parameters'!$B$17,ConcentrationsCalculations!A543+1,IF(A543="DS Node","",IF(A543="","","DS Node")))</f>
        <v/>
      </c>
      <c r="B544" s="8" t="str">
        <f>IF(A544&lt;='Characteristics&amp;Parameters'!$B$17,'Characteristics&amp;Parameters'!$B$7,IF(ConcentrationsCalculations!A544="DS Node",'Characteristics&amp;Parameters'!$B$8,""))</f>
        <v/>
      </c>
      <c r="C544" s="8"/>
      <c r="E544" s="7" t="s">
        <v>25</v>
      </c>
      <c r="F544" s="8" t="s">
        <v>25</v>
      </c>
      <c r="I544" s="7" t="str">
        <f>IF(I543&lt;'Characteristics&amp;Parameters'!$B$17,ConcentrationsCalculations!I543+1,IF(I543="DS Node","",IF(I543="","","DS Node")))</f>
        <v/>
      </c>
      <c r="J544" s="13" t="str">
        <f>IF(I544="DS Node",'Characteristics&amp;Parameters'!$B$8,IF(I544&lt;='Characteristics&amp;Parameters'!$B$17,((1-'Characteristics&amp;Parameters'!$B$19)*ConcentrationsCalculations!F544+'Characteristics&amp;Parameters'!$B$19*ConcentrationsCalculations!F543-F544/86400*'Characteristics&amp;Parameters'!$B$11*'Characteristics&amp;Parameters'!$B$12),""))</f>
        <v/>
      </c>
    </row>
    <row r="545" spans="1:10" x14ac:dyDescent="0.5">
      <c r="A545" s="7" t="str">
        <f>IF(A544&lt;'Characteristics&amp;Parameters'!$B$17,ConcentrationsCalculations!A544+1,IF(A544="DS Node","",IF(A544="","","DS Node")))</f>
        <v/>
      </c>
      <c r="B545" s="8" t="str">
        <f>IF(A545&lt;='Characteristics&amp;Parameters'!$B$17,'Characteristics&amp;Parameters'!$B$7,IF(ConcentrationsCalculations!A545="DS Node",'Characteristics&amp;Parameters'!$B$8,""))</f>
        <v/>
      </c>
      <c r="C545" s="8"/>
      <c r="E545" s="7" t="s">
        <v>25</v>
      </c>
      <c r="F545" s="8" t="s">
        <v>25</v>
      </c>
      <c r="I545" s="7" t="str">
        <f>IF(I544&lt;'Characteristics&amp;Parameters'!$B$17,ConcentrationsCalculations!I544+1,IF(I544="DS Node","",IF(I544="","","DS Node")))</f>
        <v/>
      </c>
      <c r="J545" s="13" t="str">
        <f>IF(I545="DS Node",'Characteristics&amp;Parameters'!$B$8,IF(I545&lt;='Characteristics&amp;Parameters'!$B$17,((1-'Characteristics&amp;Parameters'!$B$19)*ConcentrationsCalculations!F545+'Characteristics&amp;Parameters'!$B$19*ConcentrationsCalculations!F544-F545/86400*'Characteristics&amp;Parameters'!$B$11*'Characteristics&amp;Parameters'!$B$12),""))</f>
        <v/>
      </c>
    </row>
    <row r="546" spans="1:10" x14ac:dyDescent="0.5">
      <c r="A546" s="7" t="str">
        <f>IF(A545&lt;'Characteristics&amp;Parameters'!$B$17,ConcentrationsCalculations!A545+1,IF(A545="DS Node","",IF(A545="","","DS Node")))</f>
        <v/>
      </c>
      <c r="B546" s="8" t="str">
        <f>IF(A546&lt;='Characteristics&amp;Parameters'!$B$17,'Characteristics&amp;Parameters'!$B$7,IF(ConcentrationsCalculations!A546="DS Node",'Characteristics&amp;Parameters'!$B$8,""))</f>
        <v/>
      </c>
      <c r="C546" s="8"/>
      <c r="E546" s="7" t="s">
        <v>25</v>
      </c>
      <c r="F546" s="8" t="s">
        <v>25</v>
      </c>
      <c r="I546" s="7" t="str">
        <f>IF(I545&lt;'Characteristics&amp;Parameters'!$B$17,ConcentrationsCalculations!I545+1,IF(I545="DS Node","",IF(I545="","","DS Node")))</f>
        <v/>
      </c>
      <c r="J546" s="13" t="str">
        <f>IF(I546="DS Node",'Characteristics&amp;Parameters'!$B$8,IF(I546&lt;='Characteristics&amp;Parameters'!$B$17,((1-'Characteristics&amp;Parameters'!$B$19)*ConcentrationsCalculations!F546+'Characteristics&amp;Parameters'!$B$19*ConcentrationsCalculations!F545-F546/86400*'Characteristics&amp;Parameters'!$B$11*'Characteristics&amp;Parameters'!$B$12),""))</f>
        <v/>
      </c>
    </row>
    <row r="547" spans="1:10" x14ac:dyDescent="0.5">
      <c r="A547" s="7" t="str">
        <f>IF(A546&lt;'Characteristics&amp;Parameters'!$B$17,ConcentrationsCalculations!A546+1,IF(A546="DS Node","",IF(A546="","","DS Node")))</f>
        <v/>
      </c>
      <c r="B547" s="8" t="str">
        <f>IF(A547&lt;='Characteristics&amp;Parameters'!$B$17,'Characteristics&amp;Parameters'!$B$7,IF(ConcentrationsCalculations!A547="DS Node",'Characteristics&amp;Parameters'!$B$8,""))</f>
        <v/>
      </c>
      <c r="C547" s="8"/>
      <c r="E547" s="7" t="s">
        <v>25</v>
      </c>
      <c r="F547" s="8" t="s">
        <v>25</v>
      </c>
      <c r="I547" s="7" t="str">
        <f>IF(I546&lt;'Characteristics&amp;Parameters'!$B$17,ConcentrationsCalculations!I546+1,IF(I546="DS Node","",IF(I546="","","DS Node")))</f>
        <v/>
      </c>
      <c r="J547" s="13" t="str">
        <f>IF(I547="DS Node",'Characteristics&amp;Parameters'!$B$8,IF(I547&lt;='Characteristics&amp;Parameters'!$B$17,((1-'Characteristics&amp;Parameters'!$B$19)*ConcentrationsCalculations!F547+'Characteristics&amp;Parameters'!$B$19*ConcentrationsCalculations!F546-F547/86400*'Characteristics&amp;Parameters'!$B$11*'Characteristics&amp;Parameters'!$B$12),""))</f>
        <v/>
      </c>
    </row>
    <row r="548" spans="1:10" x14ac:dyDescent="0.5">
      <c r="A548" s="7" t="str">
        <f>IF(A547&lt;'Characteristics&amp;Parameters'!$B$17,ConcentrationsCalculations!A547+1,IF(A547="DS Node","",IF(A547="","","DS Node")))</f>
        <v/>
      </c>
      <c r="B548" s="8" t="str">
        <f>IF(A548&lt;='Characteristics&amp;Parameters'!$B$17,'Characteristics&amp;Parameters'!$B$7,IF(ConcentrationsCalculations!A548="DS Node",'Characteristics&amp;Parameters'!$B$8,""))</f>
        <v/>
      </c>
      <c r="C548" s="8"/>
      <c r="E548" s="7" t="s">
        <v>25</v>
      </c>
      <c r="F548" s="8" t="s">
        <v>25</v>
      </c>
      <c r="I548" s="7" t="str">
        <f>IF(I547&lt;'Characteristics&amp;Parameters'!$B$17,ConcentrationsCalculations!I547+1,IF(I547="DS Node","",IF(I547="","","DS Node")))</f>
        <v/>
      </c>
      <c r="J548" s="13" t="str">
        <f>IF(I548="DS Node",'Characteristics&amp;Parameters'!$B$8,IF(I548&lt;='Characteristics&amp;Parameters'!$B$17,((1-'Characteristics&amp;Parameters'!$B$19)*ConcentrationsCalculations!F548+'Characteristics&amp;Parameters'!$B$19*ConcentrationsCalculations!F547-F548/86400*'Characteristics&amp;Parameters'!$B$11*'Characteristics&amp;Parameters'!$B$12),""))</f>
        <v/>
      </c>
    </row>
    <row r="549" spans="1:10" x14ac:dyDescent="0.5">
      <c r="A549" s="7" t="str">
        <f>IF(A548&lt;'Characteristics&amp;Parameters'!$B$17,ConcentrationsCalculations!A548+1,IF(A548="DS Node","",IF(A548="","","DS Node")))</f>
        <v/>
      </c>
      <c r="B549" s="8" t="str">
        <f>IF(A549&lt;='Characteristics&amp;Parameters'!$B$17,'Characteristics&amp;Parameters'!$B$7,IF(ConcentrationsCalculations!A549="DS Node",'Characteristics&amp;Parameters'!$B$8,""))</f>
        <v/>
      </c>
      <c r="C549" s="8"/>
      <c r="E549" s="7" t="s">
        <v>25</v>
      </c>
      <c r="F549" s="8" t="s">
        <v>25</v>
      </c>
      <c r="I549" s="7" t="str">
        <f>IF(I548&lt;'Characteristics&amp;Parameters'!$B$17,ConcentrationsCalculations!I548+1,IF(I548="DS Node","",IF(I548="","","DS Node")))</f>
        <v/>
      </c>
      <c r="J549" s="13" t="str">
        <f>IF(I549="DS Node",'Characteristics&amp;Parameters'!$B$8,IF(I549&lt;='Characteristics&amp;Parameters'!$B$17,((1-'Characteristics&amp;Parameters'!$B$19)*ConcentrationsCalculations!F549+'Characteristics&amp;Parameters'!$B$19*ConcentrationsCalculations!F548-F549/86400*'Characteristics&amp;Parameters'!$B$11*'Characteristics&amp;Parameters'!$B$12),""))</f>
        <v/>
      </c>
    </row>
    <row r="550" spans="1:10" x14ac:dyDescent="0.5">
      <c r="A550" s="7" t="str">
        <f>IF(A549&lt;'Characteristics&amp;Parameters'!$B$17,ConcentrationsCalculations!A549+1,IF(A549="DS Node","",IF(A549="","","DS Node")))</f>
        <v/>
      </c>
      <c r="B550" s="8" t="str">
        <f>IF(A550&lt;='Characteristics&amp;Parameters'!$B$17,'Characteristics&amp;Parameters'!$B$7,IF(ConcentrationsCalculations!A550="DS Node",'Characteristics&amp;Parameters'!$B$8,""))</f>
        <v/>
      </c>
      <c r="C550" s="8"/>
      <c r="E550" s="7" t="s">
        <v>25</v>
      </c>
      <c r="F550" s="8" t="s">
        <v>25</v>
      </c>
      <c r="I550" s="7" t="str">
        <f>IF(I549&lt;'Characteristics&amp;Parameters'!$B$17,ConcentrationsCalculations!I549+1,IF(I549="DS Node","",IF(I549="","","DS Node")))</f>
        <v/>
      </c>
      <c r="J550" s="13" t="str">
        <f>IF(I550="DS Node",'Characteristics&amp;Parameters'!$B$8,IF(I550&lt;='Characteristics&amp;Parameters'!$B$17,((1-'Characteristics&amp;Parameters'!$B$19)*ConcentrationsCalculations!F550+'Characteristics&amp;Parameters'!$B$19*ConcentrationsCalculations!F549-F550/86400*'Characteristics&amp;Parameters'!$B$11*'Characteristics&amp;Parameters'!$B$12),""))</f>
        <v/>
      </c>
    </row>
    <row r="551" spans="1:10" x14ac:dyDescent="0.5">
      <c r="A551" s="7" t="str">
        <f>IF(A550&lt;'Characteristics&amp;Parameters'!$B$17,ConcentrationsCalculations!A550+1,IF(A550="DS Node","",IF(A550="","","DS Node")))</f>
        <v/>
      </c>
      <c r="B551" s="8" t="str">
        <f>IF(A551&lt;='Characteristics&amp;Parameters'!$B$17,'Characteristics&amp;Parameters'!$B$7,IF(ConcentrationsCalculations!A551="DS Node",'Characteristics&amp;Parameters'!$B$8,""))</f>
        <v/>
      </c>
      <c r="C551" s="8"/>
      <c r="E551" s="7" t="s">
        <v>25</v>
      </c>
      <c r="F551" s="8" t="s">
        <v>25</v>
      </c>
      <c r="I551" s="7" t="str">
        <f>IF(I550&lt;'Characteristics&amp;Parameters'!$B$17,ConcentrationsCalculations!I550+1,IF(I550="DS Node","",IF(I550="","","DS Node")))</f>
        <v/>
      </c>
      <c r="J551" s="13" t="str">
        <f>IF(I551="DS Node",'Characteristics&amp;Parameters'!$B$8,IF(I551&lt;='Characteristics&amp;Parameters'!$B$17,((1-'Characteristics&amp;Parameters'!$B$19)*ConcentrationsCalculations!F551+'Characteristics&amp;Parameters'!$B$19*ConcentrationsCalculations!F550-F551/86400*'Characteristics&amp;Parameters'!$B$11*'Characteristics&amp;Parameters'!$B$12),""))</f>
        <v/>
      </c>
    </row>
    <row r="552" spans="1:10" x14ac:dyDescent="0.5">
      <c r="A552" s="7" t="str">
        <f>IF(A551&lt;'Characteristics&amp;Parameters'!$B$17,ConcentrationsCalculations!A551+1,IF(A551="DS Node","",IF(A551="","","DS Node")))</f>
        <v/>
      </c>
      <c r="B552" s="8" t="str">
        <f>IF(A552&lt;='Characteristics&amp;Parameters'!$B$17,'Characteristics&amp;Parameters'!$B$7,IF(ConcentrationsCalculations!A552="DS Node",'Characteristics&amp;Parameters'!$B$8,""))</f>
        <v/>
      </c>
      <c r="C552" s="8"/>
      <c r="E552" s="7" t="s">
        <v>25</v>
      </c>
      <c r="F552" s="8" t="s">
        <v>25</v>
      </c>
      <c r="I552" s="7" t="str">
        <f>IF(I551&lt;'Characteristics&amp;Parameters'!$B$17,ConcentrationsCalculations!I551+1,IF(I551="DS Node","",IF(I551="","","DS Node")))</f>
        <v/>
      </c>
      <c r="J552" s="13" t="str">
        <f>IF(I552="DS Node",'Characteristics&amp;Parameters'!$B$8,IF(I552&lt;='Characteristics&amp;Parameters'!$B$17,((1-'Characteristics&amp;Parameters'!$B$19)*ConcentrationsCalculations!F552+'Characteristics&amp;Parameters'!$B$19*ConcentrationsCalculations!F551-F552/86400*'Characteristics&amp;Parameters'!$B$11*'Characteristics&amp;Parameters'!$B$12),""))</f>
        <v/>
      </c>
    </row>
    <row r="553" spans="1:10" x14ac:dyDescent="0.5">
      <c r="A553" s="7" t="str">
        <f>IF(A552&lt;'Characteristics&amp;Parameters'!$B$17,ConcentrationsCalculations!A552+1,IF(A552="DS Node","",IF(A552="","","DS Node")))</f>
        <v/>
      </c>
      <c r="B553" s="8" t="str">
        <f>IF(A553&lt;='Characteristics&amp;Parameters'!$B$17,'Characteristics&amp;Parameters'!$B$7,IF(ConcentrationsCalculations!A553="DS Node",'Characteristics&amp;Parameters'!$B$8,""))</f>
        <v/>
      </c>
      <c r="C553" s="8"/>
      <c r="E553" s="7" t="s">
        <v>25</v>
      </c>
      <c r="F553" s="8" t="s">
        <v>25</v>
      </c>
      <c r="I553" s="7" t="str">
        <f>IF(I552&lt;'Characteristics&amp;Parameters'!$B$17,ConcentrationsCalculations!I552+1,IF(I552="DS Node","",IF(I552="","","DS Node")))</f>
        <v/>
      </c>
      <c r="J553" s="13" t="str">
        <f>IF(I553="DS Node",'Characteristics&amp;Parameters'!$B$8,IF(I553&lt;='Characteristics&amp;Parameters'!$B$17,((1-'Characteristics&amp;Parameters'!$B$19)*ConcentrationsCalculations!F553+'Characteristics&amp;Parameters'!$B$19*ConcentrationsCalculations!F552-F553/86400*'Characteristics&amp;Parameters'!$B$11*'Characteristics&amp;Parameters'!$B$12),""))</f>
        <v/>
      </c>
    </row>
    <row r="554" spans="1:10" x14ac:dyDescent="0.5">
      <c r="A554" s="7" t="str">
        <f>IF(A553&lt;'Characteristics&amp;Parameters'!$B$17,ConcentrationsCalculations!A553+1,IF(A553="DS Node","",IF(A553="","","DS Node")))</f>
        <v/>
      </c>
      <c r="B554" s="8" t="str">
        <f>IF(A554&lt;='Characteristics&amp;Parameters'!$B$17,'Characteristics&amp;Parameters'!$B$7,IF(ConcentrationsCalculations!A554="DS Node",'Characteristics&amp;Parameters'!$B$8,""))</f>
        <v/>
      </c>
      <c r="C554" s="8"/>
      <c r="E554" s="7" t="s">
        <v>25</v>
      </c>
      <c r="F554" s="8" t="s">
        <v>25</v>
      </c>
      <c r="I554" s="7" t="str">
        <f>IF(I553&lt;'Characteristics&amp;Parameters'!$B$17,ConcentrationsCalculations!I553+1,IF(I553="DS Node","",IF(I553="","","DS Node")))</f>
        <v/>
      </c>
      <c r="J554" s="13" t="str">
        <f>IF(I554="DS Node",'Characteristics&amp;Parameters'!$B$8,IF(I554&lt;='Characteristics&amp;Parameters'!$B$17,((1-'Characteristics&amp;Parameters'!$B$19)*ConcentrationsCalculations!F554+'Characteristics&amp;Parameters'!$B$19*ConcentrationsCalculations!F553-F554/86400*'Characteristics&amp;Parameters'!$B$11*'Characteristics&amp;Parameters'!$B$12),""))</f>
        <v/>
      </c>
    </row>
    <row r="555" spans="1:10" x14ac:dyDescent="0.5">
      <c r="A555" s="7" t="str">
        <f>IF(A554&lt;'Characteristics&amp;Parameters'!$B$17,ConcentrationsCalculations!A554+1,IF(A554="DS Node","",IF(A554="","","DS Node")))</f>
        <v/>
      </c>
      <c r="B555" s="8" t="str">
        <f>IF(A555&lt;='Characteristics&amp;Parameters'!$B$17,'Characteristics&amp;Parameters'!$B$7,IF(ConcentrationsCalculations!A555="DS Node",'Characteristics&amp;Parameters'!$B$8,""))</f>
        <v/>
      </c>
      <c r="C555" s="8"/>
      <c r="E555" s="7" t="s">
        <v>25</v>
      </c>
      <c r="F555" s="8" t="s">
        <v>25</v>
      </c>
      <c r="I555" s="7" t="str">
        <f>IF(I554&lt;'Characteristics&amp;Parameters'!$B$17,ConcentrationsCalculations!I554+1,IF(I554="DS Node","",IF(I554="","","DS Node")))</f>
        <v/>
      </c>
      <c r="J555" s="13" t="str">
        <f>IF(I555="DS Node",'Characteristics&amp;Parameters'!$B$8,IF(I555&lt;='Characteristics&amp;Parameters'!$B$17,((1-'Characteristics&amp;Parameters'!$B$19)*ConcentrationsCalculations!F555+'Characteristics&amp;Parameters'!$B$19*ConcentrationsCalculations!F554-F555/86400*'Characteristics&amp;Parameters'!$B$11*'Characteristics&amp;Parameters'!$B$12),""))</f>
        <v/>
      </c>
    </row>
    <row r="556" spans="1:10" x14ac:dyDescent="0.5">
      <c r="A556" s="7" t="str">
        <f>IF(A555&lt;'Characteristics&amp;Parameters'!$B$17,ConcentrationsCalculations!A555+1,IF(A555="DS Node","",IF(A555="","","DS Node")))</f>
        <v/>
      </c>
      <c r="B556" s="8" t="str">
        <f>IF(A556&lt;='Characteristics&amp;Parameters'!$B$17,'Characteristics&amp;Parameters'!$B$7,IF(ConcentrationsCalculations!A556="DS Node",'Characteristics&amp;Parameters'!$B$8,""))</f>
        <v/>
      </c>
      <c r="C556" s="8"/>
      <c r="E556" s="7" t="s">
        <v>25</v>
      </c>
      <c r="F556" s="8" t="s">
        <v>25</v>
      </c>
      <c r="I556" s="7" t="str">
        <f>IF(I555&lt;'Characteristics&amp;Parameters'!$B$17,ConcentrationsCalculations!I555+1,IF(I555="DS Node","",IF(I555="","","DS Node")))</f>
        <v/>
      </c>
      <c r="J556" s="13" t="str">
        <f>IF(I556="DS Node",'Characteristics&amp;Parameters'!$B$8,IF(I556&lt;='Characteristics&amp;Parameters'!$B$17,((1-'Characteristics&amp;Parameters'!$B$19)*ConcentrationsCalculations!F556+'Characteristics&amp;Parameters'!$B$19*ConcentrationsCalculations!F555-F556/86400*'Characteristics&amp;Parameters'!$B$11*'Characteristics&amp;Parameters'!$B$12),""))</f>
        <v/>
      </c>
    </row>
    <row r="557" spans="1:10" x14ac:dyDescent="0.5">
      <c r="A557" s="7" t="str">
        <f>IF(A556&lt;'Characteristics&amp;Parameters'!$B$17,ConcentrationsCalculations!A556+1,IF(A556="DS Node","",IF(A556="","","DS Node")))</f>
        <v/>
      </c>
      <c r="B557" s="8" t="str">
        <f>IF(A557&lt;='Characteristics&amp;Parameters'!$B$17,'Characteristics&amp;Parameters'!$B$7,IF(ConcentrationsCalculations!A557="DS Node",'Characteristics&amp;Parameters'!$B$8,""))</f>
        <v/>
      </c>
      <c r="C557" s="8"/>
      <c r="E557" s="7" t="s">
        <v>25</v>
      </c>
      <c r="F557" s="8" t="s">
        <v>25</v>
      </c>
      <c r="I557" s="7" t="str">
        <f>IF(I556&lt;'Characteristics&amp;Parameters'!$B$17,ConcentrationsCalculations!I556+1,IF(I556="DS Node","",IF(I556="","","DS Node")))</f>
        <v/>
      </c>
      <c r="J557" s="13" t="str">
        <f>IF(I557="DS Node",'Characteristics&amp;Parameters'!$B$8,IF(I557&lt;='Characteristics&amp;Parameters'!$B$17,((1-'Characteristics&amp;Parameters'!$B$19)*ConcentrationsCalculations!F557+'Characteristics&amp;Parameters'!$B$19*ConcentrationsCalculations!F556-F557/86400*'Characteristics&amp;Parameters'!$B$11*'Characteristics&amp;Parameters'!$B$12),""))</f>
        <v/>
      </c>
    </row>
    <row r="558" spans="1:10" x14ac:dyDescent="0.5">
      <c r="A558" s="7" t="str">
        <f>IF(A557&lt;'Characteristics&amp;Parameters'!$B$17,ConcentrationsCalculations!A557+1,IF(A557="DS Node","",IF(A557="","","DS Node")))</f>
        <v/>
      </c>
      <c r="B558" s="8" t="str">
        <f>IF(A558&lt;='Characteristics&amp;Parameters'!$B$17,'Characteristics&amp;Parameters'!$B$7,IF(ConcentrationsCalculations!A558="DS Node",'Characteristics&amp;Parameters'!$B$8,""))</f>
        <v/>
      </c>
      <c r="C558" s="8"/>
      <c r="E558" s="7" t="s">
        <v>25</v>
      </c>
      <c r="F558" s="8" t="s">
        <v>25</v>
      </c>
      <c r="I558" s="7" t="str">
        <f>IF(I557&lt;'Characteristics&amp;Parameters'!$B$17,ConcentrationsCalculations!I557+1,IF(I557="DS Node","",IF(I557="","","DS Node")))</f>
        <v/>
      </c>
      <c r="J558" s="13" t="str">
        <f>IF(I558="DS Node",'Characteristics&amp;Parameters'!$B$8,IF(I558&lt;='Characteristics&amp;Parameters'!$B$17,((1-'Characteristics&amp;Parameters'!$B$19)*ConcentrationsCalculations!F558+'Characteristics&amp;Parameters'!$B$19*ConcentrationsCalculations!F557-F558/86400*'Characteristics&amp;Parameters'!$B$11*'Characteristics&amp;Parameters'!$B$12),""))</f>
        <v/>
      </c>
    </row>
    <row r="559" spans="1:10" x14ac:dyDescent="0.5">
      <c r="A559" s="7" t="str">
        <f>IF(A558&lt;'Characteristics&amp;Parameters'!$B$17,ConcentrationsCalculations!A558+1,IF(A558="DS Node","",IF(A558="","","DS Node")))</f>
        <v/>
      </c>
      <c r="B559" s="8" t="str">
        <f>IF(A559&lt;='Characteristics&amp;Parameters'!$B$17,'Characteristics&amp;Parameters'!$B$7,IF(ConcentrationsCalculations!A559="DS Node",'Characteristics&amp;Parameters'!$B$8,""))</f>
        <v/>
      </c>
      <c r="C559" s="8"/>
      <c r="E559" s="7" t="s">
        <v>25</v>
      </c>
      <c r="F559" s="8" t="s">
        <v>25</v>
      </c>
      <c r="I559" s="7" t="str">
        <f>IF(I558&lt;'Characteristics&amp;Parameters'!$B$17,ConcentrationsCalculations!I558+1,IF(I558="DS Node","",IF(I558="","","DS Node")))</f>
        <v/>
      </c>
      <c r="J559" s="13" t="str">
        <f>IF(I559="DS Node",'Characteristics&amp;Parameters'!$B$8,IF(I559&lt;='Characteristics&amp;Parameters'!$B$17,((1-'Characteristics&amp;Parameters'!$B$19)*ConcentrationsCalculations!F559+'Characteristics&amp;Parameters'!$B$19*ConcentrationsCalculations!F558-F559/86400*'Characteristics&amp;Parameters'!$B$11*'Characteristics&amp;Parameters'!$B$12),""))</f>
        <v/>
      </c>
    </row>
    <row r="560" spans="1:10" x14ac:dyDescent="0.5">
      <c r="A560" s="7" t="str">
        <f>IF(A559&lt;'Characteristics&amp;Parameters'!$B$17,ConcentrationsCalculations!A559+1,IF(A559="DS Node","",IF(A559="","","DS Node")))</f>
        <v/>
      </c>
      <c r="B560" s="8" t="str">
        <f>IF(A560&lt;='Characteristics&amp;Parameters'!$B$17,'Characteristics&amp;Parameters'!$B$7,IF(ConcentrationsCalculations!A560="DS Node",'Characteristics&amp;Parameters'!$B$8,""))</f>
        <v/>
      </c>
      <c r="C560" s="8"/>
      <c r="E560" s="7" t="s">
        <v>25</v>
      </c>
      <c r="F560" s="8" t="s">
        <v>25</v>
      </c>
      <c r="I560" s="7" t="str">
        <f>IF(I559&lt;'Characteristics&amp;Parameters'!$B$17,ConcentrationsCalculations!I559+1,IF(I559="DS Node","",IF(I559="","","DS Node")))</f>
        <v/>
      </c>
      <c r="J560" s="13" t="str">
        <f>IF(I560="DS Node",'Characteristics&amp;Parameters'!$B$8,IF(I560&lt;='Characteristics&amp;Parameters'!$B$17,((1-'Characteristics&amp;Parameters'!$B$19)*ConcentrationsCalculations!F560+'Characteristics&amp;Parameters'!$B$19*ConcentrationsCalculations!F559-F560/86400*'Characteristics&amp;Parameters'!$B$11*'Characteristics&amp;Parameters'!$B$12),""))</f>
        <v/>
      </c>
    </row>
    <row r="561" spans="1:10" x14ac:dyDescent="0.5">
      <c r="A561" s="7" t="str">
        <f>IF(A560&lt;'Characteristics&amp;Parameters'!$B$17,ConcentrationsCalculations!A560+1,IF(A560="DS Node","",IF(A560="","","DS Node")))</f>
        <v/>
      </c>
      <c r="B561" s="8" t="str">
        <f>IF(A561&lt;='Characteristics&amp;Parameters'!$B$17,'Characteristics&amp;Parameters'!$B$7,IF(ConcentrationsCalculations!A561="DS Node",'Characteristics&amp;Parameters'!$B$8,""))</f>
        <v/>
      </c>
      <c r="C561" s="8"/>
      <c r="E561" s="7" t="s">
        <v>25</v>
      </c>
      <c r="F561" s="8" t="s">
        <v>25</v>
      </c>
      <c r="I561" s="7" t="str">
        <f>IF(I560&lt;'Characteristics&amp;Parameters'!$B$17,ConcentrationsCalculations!I560+1,IF(I560="DS Node","",IF(I560="","","DS Node")))</f>
        <v/>
      </c>
      <c r="J561" s="13" t="str">
        <f>IF(I561="DS Node",'Characteristics&amp;Parameters'!$B$8,IF(I561&lt;='Characteristics&amp;Parameters'!$B$17,((1-'Characteristics&amp;Parameters'!$B$19)*ConcentrationsCalculations!F561+'Characteristics&amp;Parameters'!$B$19*ConcentrationsCalculations!F560-F561/86400*'Characteristics&amp;Parameters'!$B$11*'Characteristics&amp;Parameters'!$B$12),""))</f>
        <v/>
      </c>
    </row>
    <row r="562" spans="1:10" x14ac:dyDescent="0.5">
      <c r="A562" s="7" t="str">
        <f>IF(A561&lt;'Characteristics&amp;Parameters'!$B$17,ConcentrationsCalculations!A561+1,IF(A561="DS Node","",IF(A561="","","DS Node")))</f>
        <v/>
      </c>
      <c r="B562" s="8" t="str">
        <f>IF(A562&lt;='Characteristics&amp;Parameters'!$B$17,'Characteristics&amp;Parameters'!$B$7,IF(ConcentrationsCalculations!A562="DS Node",'Characteristics&amp;Parameters'!$B$8,""))</f>
        <v/>
      </c>
      <c r="C562" s="8"/>
      <c r="E562" s="7" t="s">
        <v>25</v>
      </c>
      <c r="F562" s="8" t="s">
        <v>25</v>
      </c>
      <c r="I562" s="7" t="str">
        <f>IF(I561&lt;'Characteristics&amp;Parameters'!$B$17,ConcentrationsCalculations!I561+1,IF(I561="DS Node","",IF(I561="","","DS Node")))</f>
        <v/>
      </c>
      <c r="J562" s="13" t="str">
        <f>IF(I562="DS Node",'Characteristics&amp;Parameters'!$B$8,IF(I562&lt;='Characteristics&amp;Parameters'!$B$17,((1-'Characteristics&amp;Parameters'!$B$19)*ConcentrationsCalculations!F562+'Characteristics&amp;Parameters'!$B$19*ConcentrationsCalculations!F561-F562/86400*'Characteristics&amp;Parameters'!$B$11*'Characteristics&amp;Parameters'!$B$12),""))</f>
        <v/>
      </c>
    </row>
    <row r="563" spans="1:10" x14ac:dyDescent="0.5">
      <c r="A563" s="7" t="str">
        <f>IF(A562&lt;'Characteristics&amp;Parameters'!$B$17,ConcentrationsCalculations!A562+1,IF(A562="DS Node","",IF(A562="","","DS Node")))</f>
        <v/>
      </c>
      <c r="B563" s="8" t="str">
        <f>IF(A563&lt;='Characteristics&amp;Parameters'!$B$17,'Characteristics&amp;Parameters'!$B$7,IF(ConcentrationsCalculations!A563="DS Node",'Characteristics&amp;Parameters'!$B$8,""))</f>
        <v/>
      </c>
      <c r="C563" s="8"/>
      <c r="E563" s="7" t="s">
        <v>25</v>
      </c>
      <c r="F563" s="8" t="s">
        <v>25</v>
      </c>
      <c r="I563" s="7" t="str">
        <f>IF(I562&lt;'Characteristics&amp;Parameters'!$B$17,ConcentrationsCalculations!I562+1,IF(I562="DS Node","",IF(I562="","","DS Node")))</f>
        <v/>
      </c>
      <c r="J563" s="13" t="str">
        <f>IF(I563="DS Node",'Characteristics&amp;Parameters'!$B$8,IF(I563&lt;='Characteristics&amp;Parameters'!$B$17,((1-'Characteristics&amp;Parameters'!$B$19)*ConcentrationsCalculations!F563+'Characteristics&amp;Parameters'!$B$19*ConcentrationsCalculations!F562-F563/86400*'Characteristics&amp;Parameters'!$B$11*'Characteristics&amp;Parameters'!$B$12),""))</f>
        <v/>
      </c>
    </row>
    <row r="564" spans="1:10" x14ac:dyDescent="0.5">
      <c r="A564" s="7" t="str">
        <f>IF(A563&lt;'Characteristics&amp;Parameters'!$B$17,ConcentrationsCalculations!A563+1,IF(A563="DS Node","",IF(A563="","","DS Node")))</f>
        <v/>
      </c>
      <c r="B564" s="8" t="str">
        <f>IF(A564&lt;='Characteristics&amp;Parameters'!$B$17,'Characteristics&amp;Parameters'!$B$7,IF(ConcentrationsCalculations!A564="DS Node",'Characteristics&amp;Parameters'!$B$8,""))</f>
        <v/>
      </c>
      <c r="C564" s="8"/>
      <c r="E564" s="7" t="s">
        <v>25</v>
      </c>
      <c r="F564" s="8" t="s">
        <v>25</v>
      </c>
      <c r="I564" s="7" t="str">
        <f>IF(I563&lt;'Characteristics&amp;Parameters'!$B$17,ConcentrationsCalculations!I563+1,IF(I563="DS Node","",IF(I563="","","DS Node")))</f>
        <v/>
      </c>
      <c r="J564" s="13" t="str">
        <f>IF(I564="DS Node",'Characteristics&amp;Parameters'!$B$8,IF(I564&lt;='Characteristics&amp;Parameters'!$B$17,((1-'Characteristics&amp;Parameters'!$B$19)*ConcentrationsCalculations!F564+'Characteristics&amp;Parameters'!$B$19*ConcentrationsCalculations!F563-F564/86400*'Characteristics&amp;Parameters'!$B$11*'Characteristics&amp;Parameters'!$B$12),""))</f>
        <v/>
      </c>
    </row>
    <row r="565" spans="1:10" x14ac:dyDescent="0.5">
      <c r="A565" s="7" t="str">
        <f>IF(A564&lt;'Characteristics&amp;Parameters'!$B$17,ConcentrationsCalculations!A564+1,IF(A564="DS Node","",IF(A564="","","DS Node")))</f>
        <v/>
      </c>
      <c r="B565" s="8" t="str">
        <f>IF(A565&lt;='Characteristics&amp;Parameters'!$B$17,'Characteristics&amp;Parameters'!$B$7,IF(ConcentrationsCalculations!A565="DS Node",'Characteristics&amp;Parameters'!$B$8,""))</f>
        <v/>
      </c>
      <c r="C565" s="8"/>
      <c r="E565" s="7" t="s">
        <v>25</v>
      </c>
      <c r="F565" s="8" t="s">
        <v>25</v>
      </c>
      <c r="I565" s="7" t="str">
        <f>IF(I564&lt;'Characteristics&amp;Parameters'!$B$17,ConcentrationsCalculations!I564+1,IF(I564="DS Node","",IF(I564="","","DS Node")))</f>
        <v/>
      </c>
      <c r="J565" s="13" t="str">
        <f>IF(I565="DS Node",'Characteristics&amp;Parameters'!$B$8,IF(I565&lt;='Characteristics&amp;Parameters'!$B$17,((1-'Characteristics&amp;Parameters'!$B$19)*ConcentrationsCalculations!F565+'Characteristics&amp;Parameters'!$B$19*ConcentrationsCalculations!F564-F565/86400*'Characteristics&amp;Parameters'!$B$11*'Characteristics&amp;Parameters'!$B$12),""))</f>
        <v/>
      </c>
    </row>
    <row r="566" spans="1:10" x14ac:dyDescent="0.5">
      <c r="A566" s="7" t="str">
        <f>IF(A565&lt;'Characteristics&amp;Parameters'!$B$17,ConcentrationsCalculations!A565+1,IF(A565="DS Node","",IF(A565="","","DS Node")))</f>
        <v/>
      </c>
      <c r="B566" s="8" t="str">
        <f>IF(A566&lt;='Characteristics&amp;Parameters'!$B$17,'Characteristics&amp;Parameters'!$B$7,IF(ConcentrationsCalculations!A566="DS Node",'Characteristics&amp;Parameters'!$B$8,""))</f>
        <v/>
      </c>
      <c r="C566" s="8"/>
      <c r="E566" s="7" t="s">
        <v>25</v>
      </c>
      <c r="F566" s="8" t="s">
        <v>25</v>
      </c>
      <c r="I566" s="7" t="str">
        <f>IF(I565&lt;'Characteristics&amp;Parameters'!$B$17,ConcentrationsCalculations!I565+1,IF(I565="DS Node","",IF(I565="","","DS Node")))</f>
        <v/>
      </c>
      <c r="J566" s="13" t="str">
        <f>IF(I566="DS Node",'Characteristics&amp;Parameters'!$B$8,IF(I566&lt;='Characteristics&amp;Parameters'!$B$17,((1-'Characteristics&amp;Parameters'!$B$19)*ConcentrationsCalculations!F566+'Characteristics&amp;Parameters'!$B$19*ConcentrationsCalculations!F565-F566/86400*'Characteristics&amp;Parameters'!$B$11*'Characteristics&amp;Parameters'!$B$12),""))</f>
        <v/>
      </c>
    </row>
    <row r="567" spans="1:10" x14ac:dyDescent="0.5">
      <c r="A567" s="7" t="str">
        <f>IF(A566&lt;'Characteristics&amp;Parameters'!$B$17,ConcentrationsCalculations!A566+1,IF(A566="DS Node","",IF(A566="","","DS Node")))</f>
        <v/>
      </c>
      <c r="B567" s="8" t="str">
        <f>IF(A567&lt;='Characteristics&amp;Parameters'!$B$17,'Characteristics&amp;Parameters'!$B$7,IF(ConcentrationsCalculations!A567="DS Node",'Characteristics&amp;Parameters'!$B$8,""))</f>
        <v/>
      </c>
      <c r="C567" s="8"/>
      <c r="E567" s="7" t="s">
        <v>25</v>
      </c>
      <c r="F567" s="8" t="s">
        <v>25</v>
      </c>
      <c r="I567" s="7" t="str">
        <f>IF(I566&lt;'Characteristics&amp;Parameters'!$B$17,ConcentrationsCalculations!I566+1,IF(I566="DS Node","",IF(I566="","","DS Node")))</f>
        <v/>
      </c>
      <c r="J567" s="13" t="str">
        <f>IF(I567="DS Node",'Characteristics&amp;Parameters'!$B$8,IF(I567&lt;='Characteristics&amp;Parameters'!$B$17,((1-'Characteristics&amp;Parameters'!$B$19)*ConcentrationsCalculations!F567+'Characteristics&amp;Parameters'!$B$19*ConcentrationsCalculations!F566-F567/86400*'Characteristics&amp;Parameters'!$B$11*'Characteristics&amp;Parameters'!$B$12),""))</f>
        <v/>
      </c>
    </row>
    <row r="568" spans="1:10" x14ac:dyDescent="0.5">
      <c r="A568" s="7" t="str">
        <f>IF(A567&lt;'Characteristics&amp;Parameters'!$B$17,ConcentrationsCalculations!A567+1,IF(A567="DS Node","",IF(A567="","","DS Node")))</f>
        <v/>
      </c>
      <c r="B568" s="8" t="str">
        <f>IF(A568&lt;='Characteristics&amp;Parameters'!$B$17,'Characteristics&amp;Parameters'!$B$7,IF(ConcentrationsCalculations!A568="DS Node",'Characteristics&amp;Parameters'!$B$8,""))</f>
        <v/>
      </c>
      <c r="C568" s="8"/>
      <c r="E568" s="7" t="s">
        <v>25</v>
      </c>
      <c r="F568" s="8" t="s">
        <v>25</v>
      </c>
      <c r="I568" s="7" t="str">
        <f>IF(I567&lt;'Characteristics&amp;Parameters'!$B$17,ConcentrationsCalculations!I567+1,IF(I567="DS Node","",IF(I567="","","DS Node")))</f>
        <v/>
      </c>
      <c r="J568" s="13" t="str">
        <f>IF(I568="DS Node",'Characteristics&amp;Parameters'!$B$8,IF(I568&lt;='Characteristics&amp;Parameters'!$B$17,((1-'Characteristics&amp;Parameters'!$B$19)*ConcentrationsCalculations!F568+'Characteristics&amp;Parameters'!$B$19*ConcentrationsCalculations!F567-F568/86400*'Characteristics&amp;Parameters'!$B$11*'Characteristics&amp;Parameters'!$B$12),""))</f>
        <v/>
      </c>
    </row>
    <row r="569" spans="1:10" x14ac:dyDescent="0.5">
      <c r="A569" s="7" t="str">
        <f>IF(A568&lt;'Characteristics&amp;Parameters'!$B$17,ConcentrationsCalculations!A568+1,IF(A568="DS Node","",IF(A568="","","DS Node")))</f>
        <v/>
      </c>
      <c r="B569" s="8" t="str">
        <f>IF(A569&lt;='Characteristics&amp;Parameters'!$B$17,'Characteristics&amp;Parameters'!$B$7,IF(ConcentrationsCalculations!A569="DS Node",'Characteristics&amp;Parameters'!$B$8,""))</f>
        <v/>
      </c>
      <c r="C569" s="8"/>
      <c r="E569" s="7" t="s">
        <v>25</v>
      </c>
      <c r="F569" s="8" t="s">
        <v>25</v>
      </c>
      <c r="I569" s="7" t="str">
        <f>IF(I568&lt;'Characteristics&amp;Parameters'!$B$17,ConcentrationsCalculations!I568+1,IF(I568="DS Node","",IF(I568="","","DS Node")))</f>
        <v/>
      </c>
      <c r="J569" s="13" t="str">
        <f>IF(I569="DS Node",'Characteristics&amp;Parameters'!$B$8,IF(I569&lt;='Characteristics&amp;Parameters'!$B$17,((1-'Characteristics&amp;Parameters'!$B$19)*ConcentrationsCalculations!F569+'Characteristics&amp;Parameters'!$B$19*ConcentrationsCalculations!F568-F569/86400*'Characteristics&amp;Parameters'!$B$11*'Characteristics&amp;Parameters'!$B$12),""))</f>
        <v/>
      </c>
    </row>
    <row r="570" spans="1:10" x14ac:dyDescent="0.5">
      <c r="A570" s="7" t="str">
        <f>IF(A569&lt;'Characteristics&amp;Parameters'!$B$17,ConcentrationsCalculations!A569+1,IF(A569="DS Node","",IF(A569="","","DS Node")))</f>
        <v/>
      </c>
      <c r="B570" s="8" t="str">
        <f>IF(A570&lt;='Characteristics&amp;Parameters'!$B$17,'Characteristics&amp;Parameters'!$B$7,IF(ConcentrationsCalculations!A570="DS Node",'Characteristics&amp;Parameters'!$B$8,""))</f>
        <v/>
      </c>
      <c r="C570" s="8"/>
      <c r="E570" s="7" t="s">
        <v>25</v>
      </c>
      <c r="F570" s="8" t="s">
        <v>25</v>
      </c>
      <c r="I570" s="7" t="str">
        <f>IF(I569&lt;'Characteristics&amp;Parameters'!$B$17,ConcentrationsCalculations!I569+1,IF(I569="DS Node","",IF(I569="","","DS Node")))</f>
        <v/>
      </c>
      <c r="J570" s="13" t="str">
        <f>IF(I570="DS Node",'Characteristics&amp;Parameters'!$B$8,IF(I570&lt;='Characteristics&amp;Parameters'!$B$17,((1-'Characteristics&amp;Parameters'!$B$19)*ConcentrationsCalculations!F570+'Characteristics&amp;Parameters'!$B$19*ConcentrationsCalculations!F569-F570/86400*'Characteristics&amp;Parameters'!$B$11*'Characteristics&amp;Parameters'!$B$12),""))</f>
        <v/>
      </c>
    </row>
    <row r="571" spans="1:10" x14ac:dyDescent="0.5">
      <c r="A571" s="7" t="str">
        <f>IF(A570&lt;'Characteristics&amp;Parameters'!$B$17,ConcentrationsCalculations!A570+1,IF(A570="DS Node","",IF(A570="","","DS Node")))</f>
        <v/>
      </c>
      <c r="B571" s="8" t="str">
        <f>IF(A571&lt;='Characteristics&amp;Parameters'!$B$17,'Characteristics&amp;Parameters'!$B$7,IF(ConcentrationsCalculations!A571="DS Node",'Characteristics&amp;Parameters'!$B$8,""))</f>
        <v/>
      </c>
      <c r="C571" s="8"/>
      <c r="E571" s="7" t="s">
        <v>25</v>
      </c>
      <c r="F571" s="8" t="s">
        <v>25</v>
      </c>
      <c r="I571" s="7" t="str">
        <f>IF(I570&lt;'Characteristics&amp;Parameters'!$B$17,ConcentrationsCalculations!I570+1,IF(I570="DS Node","",IF(I570="","","DS Node")))</f>
        <v/>
      </c>
      <c r="J571" s="13" t="str">
        <f>IF(I571="DS Node",'Characteristics&amp;Parameters'!$B$8,IF(I571&lt;='Characteristics&amp;Parameters'!$B$17,((1-'Characteristics&amp;Parameters'!$B$19)*ConcentrationsCalculations!F571+'Characteristics&amp;Parameters'!$B$19*ConcentrationsCalculations!F570-F571/86400*'Characteristics&amp;Parameters'!$B$11*'Characteristics&amp;Parameters'!$B$12),""))</f>
        <v/>
      </c>
    </row>
    <row r="572" spans="1:10" x14ac:dyDescent="0.5">
      <c r="A572" s="7" t="str">
        <f>IF(A571&lt;'Characteristics&amp;Parameters'!$B$17,ConcentrationsCalculations!A571+1,IF(A571="DS Node","",IF(A571="","","DS Node")))</f>
        <v/>
      </c>
      <c r="B572" s="8" t="str">
        <f>IF(A572&lt;='Characteristics&amp;Parameters'!$B$17,'Characteristics&amp;Parameters'!$B$7,IF(ConcentrationsCalculations!A572="DS Node",'Characteristics&amp;Parameters'!$B$8,""))</f>
        <v/>
      </c>
      <c r="C572" s="8"/>
      <c r="E572" s="7" t="s">
        <v>25</v>
      </c>
      <c r="F572" s="8" t="s">
        <v>25</v>
      </c>
      <c r="I572" s="7" t="str">
        <f>IF(I571&lt;'Characteristics&amp;Parameters'!$B$17,ConcentrationsCalculations!I571+1,IF(I571="DS Node","",IF(I571="","","DS Node")))</f>
        <v/>
      </c>
      <c r="J572" s="13" t="str">
        <f>IF(I572="DS Node",'Characteristics&amp;Parameters'!$B$8,IF(I572&lt;='Characteristics&amp;Parameters'!$B$17,((1-'Characteristics&amp;Parameters'!$B$19)*ConcentrationsCalculations!F572+'Characteristics&amp;Parameters'!$B$19*ConcentrationsCalculations!F571-F572/86400*'Characteristics&amp;Parameters'!$B$11*'Characteristics&amp;Parameters'!$B$12),""))</f>
        <v/>
      </c>
    </row>
    <row r="573" spans="1:10" x14ac:dyDescent="0.5">
      <c r="A573" s="7" t="str">
        <f>IF(A572&lt;'Characteristics&amp;Parameters'!$B$17,ConcentrationsCalculations!A572+1,IF(A572="DS Node","",IF(A572="","","DS Node")))</f>
        <v/>
      </c>
      <c r="B573" s="8" t="str">
        <f>IF(A573&lt;='Characteristics&amp;Parameters'!$B$17,'Characteristics&amp;Parameters'!$B$7,IF(ConcentrationsCalculations!A573="DS Node",'Characteristics&amp;Parameters'!$B$8,""))</f>
        <v/>
      </c>
      <c r="C573" s="8"/>
      <c r="E573" s="7" t="s">
        <v>25</v>
      </c>
      <c r="F573" s="8" t="s">
        <v>25</v>
      </c>
      <c r="I573" s="7" t="str">
        <f>IF(I572&lt;'Characteristics&amp;Parameters'!$B$17,ConcentrationsCalculations!I572+1,IF(I572="DS Node","",IF(I572="","","DS Node")))</f>
        <v/>
      </c>
      <c r="J573" s="13" t="str">
        <f>IF(I573="DS Node",'Characteristics&amp;Parameters'!$B$8,IF(I573&lt;='Characteristics&amp;Parameters'!$B$17,((1-'Characteristics&amp;Parameters'!$B$19)*ConcentrationsCalculations!F573+'Characteristics&amp;Parameters'!$B$19*ConcentrationsCalculations!F572-F573/86400*'Characteristics&amp;Parameters'!$B$11*'Characteristics&amp;Parameters'!$B$12),""))</f>
        <v/>
      </c>
    </row>
    <row r="574" spans="1:10" x14ac:dyDescent="0.5">
      <c r="A574" s="7" t="str">
        <f>IF(A573&lt;'Characteristics&amp;Parameters'!$B$17,ConcentrationsCalculations!A573+1,IF(A573="DS Node","",IF(A573="","","DS Node")))</f>
        <v/>
      </c>
      <c r="B574" s="8" t="str">
        <f>IF(A574&lt;='Characteristics&amp;Parameters'!$B$17,'Characteristics&amp;Parameters'!$B$7,IF(ConcentrationsCalculations!A574="DS Node",'Characteristics&amp;Parameters'!$B$8,""))</f>
        <v/>
      </c>
      <c r="C574" s="8"/>
      <c r="E574" s="7" t="s">
        <v>25</v>
      </c>
      <c r="F574" s="8" t="s">
        <v>25</v>
      </c>
      <c r="I574" s="7" t="str">
        <f>IF(I573&lt;'Characteristics&amp;Parameters'!$B$17,ConcentrationsCalculations!I573+1,IF(I573="DS Node","",IF(I573="","","DS Node")))</f>
        <v/>
      </c>
      <c r="J574" s="13" t="str">
        <f>IF(I574="DS Node",'Characteristics&amp;Parameters'!$B$8,IF(I574&lt;='Characteristics&amp;Parameters'!$B$17,((1-'Characteristics&amp;Parameters'!$B$19)*ConcentrationsCalculations!F574+'Characteristics&amp;Parameters'!$B$19*ConcentrationsCalculations!F573-F574/86400*'Characteristics&amp;Parameters'!$B$11*'Characteristics&amp;Parameters'!$B$12),""))</f>
        <v/>
      </c>
    </row>
    <row r="575" spans="1:10" x14ac:dyDescent="0.5">
      <c r="A575" s="7" t="str">
        <f>IF(A574&lt;'Characteristics&amp;Parameters'!$B$17,ConcentrationsCalculations!A574+1,IF(A574="DS Node","",IF(A574="","","DS Node")))</f>
        <v/>
      </c>
      <c r="B575" s="8" t="str">
        <f>IF(A575&lt;='Characteristics&amp;Parameters'!$B$17,'Characteristics&amp;Parameters'!$B$7,IF(ConcentrationsCalculations!A575="DS Node",'Characteristics&amp;Parameters'!$B$8,""))</f>
        <v/>
      </c>
      <c r="C575" s="8"/>
      <c r="E575" s="7" t="s">
        <v>25</v>
      </c>
      <c r="F575" s="8" t="s">
        <v>25</v>
      </c>
      <c r="I575" s="7" t="str">
        <f>IF(I574&lt;'Characteristics&amp;Parameters'!$B$17,ConcentrationsCalculations!I574+1,IF(I574="DS Node","",IF(I574="","","DS Node")))</f>
        <v/>
      </c>
      <c r="J575" s="13" t="str">
        <f>IF(I575="DS Node",'Characteristics&amp;Parameters'!$B$8,IF(I575&lt;='Characteristics&amp;Parameters'!$B$17,((1-'Characteristics&amp;Parameters'!$B$19)*ConcentrationsCalculations!F575+'Characteristics&amp;Parameters'!$B$19*ConcentrationsCalculations!F574-F575/86400*'Characteristics&amp;Parameters'!$B$11*'Characteristics&amp;Parameters'!$B$12),""))</f>
        <v/>
      </c>
    </row>
    <row r="576" spans="1:10" x14ac:dyDescent="0.5">
      <c r="A576" s="7" t="str">
        <f>IF(A575&lt;'Characteristics&amp;Parameters'!$B$17,ConcentrationsCalculations!A575+1,IF(A575="DS Node","",IF(A575="","","DS Node")))</f>
        <v/>
      </c>
      <c r="B576" s="8" t="str">
        <f>IF(A576&lt;='Characteristics&amp;Parameters'!$B$17,'Characteristics&amp;Parameters'!$B$7,IF(ConcentrationsCalculations!A576="DS Node",'Characteristics&amp;Parameters'!$B$8,""))</f>
        <v/>
      </c>
      <c r="C576" s="8"/>
      <c r="E576" s="7" t="s">
        <v>25</v>
      </c>
      <c r="F576" s="8" t="s">
        <v>25</v>
      </c>
      <c r="I576" s="7" t="str">
        <f>IF(I575&lt;'Characteristics&amp;Parameters'!$B$17,ConcentrationsCalculations!I575+1,IF(I575="DS Node","",IF(I575="","","DS Node")))</f>
        <v/>
      </c>
      <c r="J576" s="13" t="str">
        <f>IF(I576="DS Node",'Characteristics&amp;Parameters'!$B$8,IF(I576&lt;='Characteristics&amp;Parameters'!$B$17,((1-'Characteristics&amp;Parameters'!$B$19)*ConcentrationsCalculations!F576+'Characteristics&amp;Parameters'!$B$19*ConcentrationsCalculations!F575-F576/86400*'Characteristics&amp;Parameters'!$B$11*'Characteristics&amp;Parameters'!$B$12),""))</f>
        <v/>
      </c>
    </row>
    <row r="577" spans="1:10" x14ac:dyDescent="0.5">
      <c r="A577" s="7" t="str">
        <f>IF(A576&lt;'Characteristics&amp;Parameters'!$B$17,ConcentrationsCalculations!A576+1,IF(A576="DS Node","",IF(A576="","","DS Node")))</f>
        <v/>
      </c>
      <c r="B577" s="8" t="str">
        <f>IF(A577&lt;='Characteristics&amp;Parameters'!$B$17,'Characteristics&amp;Parameters'!$B$7,IF(ConcentrationsCalculations!A577="DS Node",'Characteristics&amp;Parameters'!$B$8,""))</f>
        <v/>
      </c>
      <c r="C577" s="8"/>
      <c r="E577" s="7" t="s">
        <v>25</v>
      </c>
      <c r="F577" s="8" t="s">
        <v>25</v>
      </c>
      <c r="I577" s="7" t="str">
        <f>IF(I576&lt;'Characteristics&amp;Parameters'!$B$17,ConcentrationsCalculations!I576+1,IF(I576="DS Node","",IF(I576="","","DS Node")))</f>
        <v/>
      </c>
      <c r="J577" s="13" t="str">
        <f>IF(I577="DS Node",'Characteristics&amp;Parameters'!$B$8,IF(I577&lt;='Characteristics&amp;Parameters'!$B$17,((1-'Characteristics&amp;Parameters'!$B$19)*ConcentrationsCalculations!F577+'Characteristics&amp;Parameters'!$B$19*ConcentrationsCalculations!F576-F577/86400*'Characteristics&amp;Parameters'!$B$11*'Characteristics&amp;Parameters'!$B$12),""))</f>
        <v/>
      </c>
    </row>
    <row r="578" spans="1:10" x14ac:dyDescent="0.5">
      <c r="A578" s="7" t="str">
        <f>IF(A577&lt;'Characteristics&amp;Parameters'!$B$17,ConcentrationsCalculations!A577+1,IF(A577="DS Node","",IF(A577="","","DS Node")))</f>
        <v/>
      </c>
      <c r="B578" s="8" t="str">
        <f>IF(A578&lt;='Characteristics&amp;Parameters'!$B$17,'Characteristics&amp;Parameters'!$B$7,IF(ConcentrationsCalculations!A578="DS Node",'Characteristics&amp;Parameters'!$B$8,""))</f>
        <v/>
      </c>
      <c r="C578" s="8"/>
      <c r="E578" s="7" t="s">
        <v>25</v>
      </c>
      <c r="F578" s="8" t="s">
        <v>25</v>
      </c>
      <c r="I578" s="7" t="str">
        <f>IF(I577&lt;'Characteristics&amp;Parameters'!$B$17,ConcentrationsCalculations!I577+1,IF(I577="DS Node","",IF(I577="","","DS Node")))</f>
        <v/>
      </c>
      <c r="J578" s="13" t="str">
        <f>IF(I578="DS Node",'Characteristics&amp;Parameters'!$B$8,IF(I578&lt;='Characteristics&amp;Parameters'!$B$17,((1-'Characteristics&amp;Parameters'!$B$19)*ConcentrationsCalculations!F578+'Characteristics&amp;Parameters'!$B$19*ConcentrationsCalculations!F577-F578/86400*'Characteristics&amp;Parameters'!$B$11*'Characteristics&amp;Parameters'!$B$12),""))</f>
        <v/>
      </c>
    </row>
    <row r="579" spans="1:10" x14ac:dyDescent="0.5">
      <c r="A579" s="7" t="str">
        <f>IF(A578&lt;'Characteristics&amp;Parameters'!$B$17,ConcentrationsCalculations!A578+1,IF(A578="DS Node","",IF(A578="","","DS Node")))</f>
        <v/>
      </c>
      <c r="B579" s="8" t="str">
        <f>IF(A579&lt;='Characteristics&amp;Parameters'!$B$17,'Characteristics&amp;Parameters'!$B$7,IF(ConcentrationsCalculations!A579="DS Node",'Characteristics&amp;Parameters'!$B$8,""))</f>
        <v/>
      </c>
      <c r="C579" s="8"/>
      <c r="E579" s="7" t="s">
        <v>25</v>
      </c>
      <c r="F579" s="8" t="s">
        <v>25</v>
      </c>
      <c r="I579" s="7" t="str">
        <f>IF(I578&lt;'Characteristics&amp;Parameters'!$B$17,ConcentrationsCalculations!I578+1,IF(I578="DS Node","",IF(I578="","","DS Node")))</f>
        <v/>
      </c>
      <c r="J579" s="13" t="str">
        <f>IF(I579="DS Node",'Characteristics&amp;Parameters'!$B$8,IF(I579&lt;='Characteristics&amp;Parameters'!$B$17,((1-'Characteristics&amp;Parameters'!$B$19)*ConcentrationsCalculations!F579+'Characteristics&amp;Parameters'!$B$19*ConcentrationsCalculations!F578-F579/86400*'Characteristics&amp;Parameters'!$B$11*'Characteristics&amp;Parameters'!$B$12),""))</f>
        <v/>
      </c>
    </row>
    <row r="580" spans="1:10" x14ac:dyDescent="0.5">
      <c r="A580" s="7" t="str">
        <f>IF(A579&lt;'Characteristics&amp;Parameters'!$B$17,ConcentrationsCalculations!A579+1,IF(A579="DS Node","",IF(A579="","","DS Node")))</f>
        <v/>
      </c>
      <c r="B580" s="8" t="str">
        <f>IF(A580&lt;='Characteristics&amp;Parameters'!$B$17,'Characteristics&amp;Parameters'!$B$7,IF(ConcentrationsCalculations!A580="DS Node",'Characteristics&amp;Parameters'!$B$8,""))</f>
        <v/>
      </c>
      <c r="C580" s="8"/>
      <c r="E580" s="7" t="s">
        <v>25</v>
      </c>
      <c r="F580" s="8" t="s">
        <v>25</v>
      </c>
      <c r="I580" s="7" t="str">
        <f>IF(I579&lt;'Characteristics&amp;Parameters'!$B$17,ConcentrationsCalculations!I579+1,IF(I579="DS Node","",IF(I579="","","DS Node")))</f>
        <v/>
      </c>
      <c r="J580" s="13" t="str">
        <f>IF(I580="DS Node",'Characteristics&amp;Parameters'!$B$8,IF(I580&lt;='Characteristics&amp;Parameters'!$B$17,((1-'Characteristics&amp;Parameters'!$B$19)*ConcentrationsCalculations!F580+'Characteristics&amp;Parameters'!$B$19*ConcentrationsCalculations!F579-F580/86400*'Characteristics&amp;Parameters'!$B$11*'Characteristics&amp;Parameters'!$B$12),""))</f>
        <v/>
      </c>
    </row>
    <row r="581" spans="1:10" x14ac:dyDescent="0.5">
      <c r="A581" s="7" t="str">
        <f>IF(A580&lt;'Characteristics&amp;Parameters'!$B$17,ConcentrationsCalculations!A580+1,IF(A580="DS Node","",IF(A580="","","DS Node")))</f>
        <v/>
      </c>
      <c r="B581" s="8" t="str">
        <f>IF(A581&lt;='Characteristics&amp;Parameters'!$B$17,'Characteristics&amp;Parameters'!$B$7,IF(ConcentrationsCalculations!A581="DS Node",'Characteristics&amp;Parameters'!$B$8,""))</f>
        <v/>
      </c>
      <c r="C581" s="8"/>
      <c r="E581" s="7" t="s">
        <v>25</v>
      </c>
      <c r="F581" s="8" t="s">
        <v>25</v>
      </c>
      <c r="I581" s="7" t="str">
        <f>IF(I580&lt;'Characteristics&amp;Parameters'!$B$17,ConcentrationsCalculations!I580+1,IF(I580="DS Node","",IF(I580="","","DS Node")))</f>
        <v/>
      </c>
      <c r="J581" s="13" t="str">
        <f>IF(I581="DS Node",'Characteristics&amp;Parameters'!$B$8,IF(I581&lt;='Characteristics&amp;Parameters'!$B$17,((1-'Characteristics&amp;Parameters'!$B$19)*ConcentrationsCalculations!F581+'Characteristics&amp;Parameters'!$B$19*ConcentrationsCalculations!F580-F581/86400*'Characteristics&amp;Parameters'!$B$11*'Characteristics&amp;Parameters'!$B$12),""))</f>
        <v/>
      </c>
    </row>
    <row r="582" spans="1:10" x14ac:dyDescent="0.5">
      <c r="A582" s="7" t="str">
        <f>IF(A581&lt;'Characteristics&amp;Parameters'!$B$17,ConcentrationsCalculations!A581+1,IF(A581="DS Node","",IF(A581="","","DS Node")))</f>
        <v/>
      </c>
      <c r="B582" s="8" t="str">
        <f>IF(A582&lt;='Characteristics&amp;Parameters'!$B$17,'Characteristics&amp;Parameters'!$B$7,IF(ConcentrationsCalculations!A582="DS Node",'Characteristics&amp;Parameters'!$B$8,""))</f>
        <v/>
      </c>
      <c r="C582" s="8"/>
      <c r="E582" s="7" t="s">
        <v>25</v>
      </c>
      <c r="F582" s="8" t="s">
        <v>25</v>
      </c>
      <c r="I582" s="7" t="str">
        <f>IF(I581&lt;'Characteristics&amp;Parameters'!$B$17,ConcentrationsCalculations!I581+1,IF(I581="DS Node","",IF(I581="","","DS Node")))</f>
        <v/>
      </c>
      <c r="J582" s="13" t="str">
        <f>IF(I582="DS Node",'Characteristics&amp;Parameters'!$B$8,IF(I582&lt;='Characteristics&amp;Parameters'!$B$17,((1-'Characteristics&amp;Parameters'!$B$19)*ConcentrationsCalculations!F582+'Characteristics&amp;Parameters'!$B$19*ConcentrationsCalculations!F581-F582/86400*'Characteristics&amp;Parameters'!$B$11*'Characteristics&amp;Parameters'!$B$12),""))</f>
        <v/>
      </c>
    </row>
    <row r="583" spans="1:10" x14ac:dyDescent="0.5">
      <c r="A583" s="7" t="str">
        <f>IF(A582&lt;'Characteristics&amp;Parameters'!$B$17,ConcentrationsCalculations!A582+1,IF(A582="DS Node","",IF(A582="","","DS Node")))</f>
        <v/>
      </c>
      <c r="B583" s="8" t="str">
        <f>IF(A583&lt;='Characteristics&amp;Parameters'!$B$17,'Characteristics&amp;Parameters'!$B$7,IF(ConcentrationsCalculations!A583="DS Node",'Characteristics&amp;Parameters'!$B$8,""))</f>
        <v/>
      </c>
      <c r="C583" s="8"/>
      <c r="E583" s="7" t="s">
        <v>25</v>
      </c>
      <c r="F583" s="8" t="s">
        <v>25</v>
      </c>
      <c r="I583" s="7" t="str">
        <f>IF(I582&lt;'Characteristics&amp;Parameters'!$B$17,ConcentrationsCalculations!I582+1,IF(I582="DS Node","",IF(I582="","","DS Node")))</f>
        <v/>
      </c>
      <c r="J583" s="13" t="str">
        <f>IF(I583="DS Node",'Characteristics&amp;Parameters'!$B$8,IF(I583&lt;='Characteristics&amp;Parameters'!$B$17,((1-'Characteristics&amp;Parameters'!$B$19)*ConcentrationsCalculations!F583+'Characteristics&amp;Parameters'!$B$19*ConcentrationsCalculations!F582-F583/86400*'Characteristics&amp;Parameters'!$B$11*'Characteristics&amp;Parameters'!$B$12),""))</f>
        <v/>
      </c>
    </row>
    <row r="584" spans="1:10" x14ac:dyDescent="0.5">
      <c r="A584" s="7" t="str">
        <f>IF(A583&lt;'Characteristics&amp;Parameters'!$B$17,ConcentrationsCalculations!A583+1,IF(A583="DS Node","",IF(A583="","","DS Node")))</f>
        <v/>
      </c>
      <c r="B584" s="8" t="str">
        <f>IF(A584&lt;='Characteristics&amp;Parameters'!$B$17,'Characteristics&amp;Parameters'!$B$7,IF(ConcentrationsCalculations!A584="DS Node",'Characteristics&amp;Parameters'!$B$8,""))</f>
        <v/>
      </c>
      <c r="C584" s="8"/>
      <c r="E584" s="7" t="s">
        <v>25</v>
      </c>
      <c r="F584" s="8" t="s">
        <v>25</v>
      </c>
      <c r="I584" s="7" t="str">
        <f>IF(I583&lt;'Characteristics&amp;Parameters'!$B$17,ConcentrationsCalculations!I583+1,IF(I583="DS Node","",IF(I583="","","DS Node")))</f>
        <v/>
      </c>
      <c r="J584" s="13" t="str">
        <f>IF(I584="DS Node",'Characteristics&amp;Parameters'!$B$8,IF(I584&lt;='Characteristics&amp;Parameters'!$B$17,((1-'Characteristics&amp;Parameters'!$B$19)*ConcentrationsCalculations!F584+'Characteristics&amp;Parameters'!$B$19*ConcentrationsCalculations!F583-F584/86400*'Characteristics&amp;Parameters'!$B$11*'Characteristics&amp;Parameters'!$B$12),""))</f>
        <v/>
      </c>
    </row>
    <row r="585" spans="1:10" x14ac:dyDescent="0.5">
      <c r="A585" s="7" t="str">
        <f>IF(A584&lt;'Characteristics&amp;Parameters'!$B$17,ConcentrationsCalculations!A584+1,IF(A584="DS Node","",IF(A584="","","DS Node")))</f>
        <v/>
      </c>
      <c r="B585" s="8" t="str">
        <f>IF(A585&lt;='Characteristics&amp;Parameters'!$B$17,'Characteristics&amp;Parameters'!$B$7,IF(ConcentrationsCalculations!A585="DS Node",'Characteristics&amp;Parameters'!$B$8,""))</f>
        <v/>
      </c>
      <c r="C585" s="8"/>
      <c r="E585" s="7" t="s">
        <v>25</v>
      </c>
      <c r="F585" s="8" t="s">
        <v>25</v>
      </c>
      <c r="I585" s="7" t="str">
        <f>IF(I584&lt;'Characteristics&amp;Parameters'!$B$17,ConcentrationsCalculations!I584+1,IF(I584="DS Node","",IF(I584="","","DS Node")))</f>
        <v/>
      </c>
      <c r="J585" s="13" t="str">
        <f>IF(I585="DS Node",'Characteristics&amp;Parameters'!$B$8,IF(I585&lt;='Characteristics&amp;Parameters'!$B$17,((1-'Characteristics&amp;Parameters'!$B$19)*ConcentrationsCalculations!F585+'Characteristics&amp;Parameters'!$B$19*ConcentrationsCalculations!F584-F585/86400*'Characteristics&amp;Parameters'!$B$11*'Characteristics&amp;Parameters'!$B$12),""))</f>
        <v/>
      </c>
    </row>
    <row r="586" spans="1:10" x14ac:dyDescent="0.5">
      <c r="A586" s="7" t="str">
        <f>IF(A585&lt;'Characteristics&amp;Parameters'!$B$17,ConcentrationsCalculations!A585+1,IF(A585="DS Node","",IF(A585="","","DS Node")))</f>
        <v/>
      </c>
      <c r="B586" s="8" t="str">
        <f>IF(A586&lt;='Characteristics&amp;Parameters'!$B$17,'Characteristics&amp;Parameters'!$B$7,IF(ConcentrationsCalculations!A586="DS Node",'Characteristics&amp;Parameters'!$B$8,""))</f>
        <v/>
      </c>
      <c r="C586" s="8"/>
      <c r="E586" s="7" t="s">
        <v>25</v>
      </c>
      <c r="F586" s="8" t="s">
        <v>25</v>
      </c>
      <c r="I586" s="7" t="str">
        <f>IF(I585&lt;'Characteristics&amp;Parameters'!$B$17,ConcentrationsCalculations!I585+1,IF(I585="DS Node","",IF(I585="","","DS Node")))</f>
        <v/>
      </c>
      <c r="J586" s="13" t="str">
        <f>IF(I586="DS Node",'Characteristics&amp;Parameters'!$B$8,IF(I586&lt;='Characteristics&amp;Parameters'!$B$17,((1-'Characteristics&amp;Parameters'!$B$19)*ConcentrationsCalculations!F586+'Characteristics&amp;Parameters'!$B$19*ConcentrationsCalculations!F585-F586/86400*'Characteristics&amp;Parameters'!$B$11*'Characteristics&amp;Parameters'!$B$12),""))</f>
        <v/>
      </c>
    </row>
    <row r="587" spans="1:10" x14ac:dyDescent="0.5">
      <c r="A587" s="7" t="str">
        <f>IF(A586&lt;'Characteristics&amp;Parameters'!$B$17,ConcentrationsCalculations!A586+1,IF(A586="DS Node","",IF(A586="","","DS Node")))</f>
        <v/>
      </c>
      <c r="B587" s="8" t="str">
        <f>IF(A587&lt;='Characteristics&amp;Parameters'!$B$17,'Characteristics&amp;Parameters'!$B$7,IF(ConcentrationsCalculations!A587="DS Node",'Characteristics&amp;Parameters'!$B$8,""))</f>
        <v/>
      </c>
      <c r="C587" s="8"/>
      <c r="E587" s="7" t="s">
        <v>25</v>
      </c>
      <c r="F587" s="8" t="s">
        <v>25</v>
      </c>
      <c r="I587" s="7" t="str">
        <f>IF(I586&lt;'Characteristics&amp;Parameters'!$B$17,ConcentrationsCalculations!I586+1,IF(I586="DS Node","",IF(I586="","","DS Node")))</f>
        <v/>
      </c>
      <c r="J587" s="13" t="str">
        <f>IF(I587="DS Node",'Characteristics&amp;Parameters'!$B$8,IF(I587&lt;='Characteristics&amp;Parameters'!$B$17,((1-'Characteristics&amp;Parameters'!$B$19)*ConcentrationsCalculations!F587+'Characteristics&amp;Parameters'!$B$19*ConcentrationsCalculations!F586-F587/86400*'Characteristics&amp;Parameters'!$B$11*'Characteristics&amp;Parameters'!$B$12),""))</f>
        <v/>
      </c>
    </row>
    <row r="588" spans="1:10" x14ac:dyDescent="0.5">
      <c r="A588" s="7" t="str">
        <f>IF(A587&lt;'Characteristics&amp;Parameters'!$B$17,ConcentrationsCalculations!A587+1,IF(A587="DS Node","",IF(A587="","","DS Node")))</f>
        <v/>
      </c>
      <c r="B588" s="8" t="str">
        <f>IF(A588&lt;='Characteristics&amp;Parameters'!$B$17,'Characteristics&amp;Parameters'!$B$7,IF(ConcentrationsCalculations!A588="DS Node",'Characteristics&amp;Parameters'!$B$8,""))</f>
        <v/>
      </c>
      <c r="C588" s="8"/>
      <c r="E588" s="7" t="s">
        <v>25</v>
      </c>
      <c r="F588" s="8" t="s">
        <v>25</v>
      </c>
      <c r="I588" s="7" t="str">
        <f>IF(I587&lt;'Characteristics&amp;Parameters'!$B$17,ConcentrationsCalculations!I587+1,IF(I587="DS Node","",IF(I587="","","DS Node")))</f>
        <v/>
      </c>
      <c r="J588" s="13" t="str">
        <f>IF(I588="DS Node",'Characteristics&amp;Parameters'!$B$8,IF(I588&lt;='Characteristics&amp;Parameters'!$B$17,((1-'Characteristics&amp;Parameters'!$B$19)*ConcentrationsCalculations!F588+'Characteristics&amp;Parameters'!$B$19*ConcentrationsCalculations!F587-F588/86400*'Characteristics&amp;Parameters'!$B$11*'Characteristics&amp;Parameters'!$B$12),""))</f>
        <v/>
      </c>
    </row>
    <row r="589" spans="1:10" x14ac:dyDescent="0.5">
      <c r="A589" s="7" t="str">
        <f>IF(A588&lt;'Characteristics&amp;Parameters'!$B$17,ConcentrationsCalculations!A588+1,IF(A588="DS Node","",IF(A588="","","DS Node")))</f>
        <v/>
      </c>
      <c r="B589" s="8" t="str">
        <f>IF(A589&lt;='Characteristics&amp;Parameters'!$B$17,'Characteristics&amp;Parameters'!$B$7,IF(ConcentrationsCalculations!A589="DS Node",'Characteristics&amp;Parameters'!$B$8,""))</f>
        <v/>
      </c>
      <c r="C589" s="8"/>
      <c r="E589" s="7" t="s">
        <v>25</v>
      </c>
      <c r="F589" s="8" t="s">
        <v>25</v>
      </c>
      <c r="I589" s="7" t="str">
        <f>IF(I588&lt;'Characteristics&amp;Parameters'!$B$17,ConcentrationsCalculations!I588+1,IF(I588="DS Node","",IF(I588="","","DS Node")))</f>
        <v/>
      </c>
      <c r="J589" s="13" t="str">
        <f>IF(I589="DS Node",'Characteristics&amp;Parameters'!$B$8,IF(I589&lt;='Characteristics&amp;Parameters'!$B$17,((1-'Characteristics&amp;Parameters'!$B$19)*ConcentrationsCalculations!F589+'Characteristics&amp;Parameters'!$B$19*ConcentrationsCalculations!F588-F589/86400*'Characteristics&amp;Parameters'!$B$11*'Characteristics&amp;Parameters'!$B$12),""))</f>
        <v/>
      </c>
    </row>
    <row r="590" spans="1:10" x14ac:dyDescent="0.5">
      <c r="A590" s="7" t="str">
        <f>IF(A589&lt;'Characteristics&amp;Parameters'!$B$17,ConcentrationsCalculations!A589+1,IF(A589="DS Node","",IF(A589="","","DS Node")))</f>
        <v/>
      </c>
      <c r="B590" s="8" t="str">
        <f>IF(A590&lt;='Characteristics&amp;Parameters'!$B$17,'Characteristics&amp;Parameters'!$B$7,IF(ConcentrationsCalculations!A590="DS Node",'Characteristics&amp;Parameters'!$B$8,""))</f>
        <v/>
      </c>
      <c r="C590" s="8"/>
      <c r="E590" s="7" t="s">
        <v>25</v>
      </c>
      <c r="F590" s="8" t="s">
        <v>25</v>
      </c>
      <c r="I590" s="7" t="str">
        <f>IF(I589&lt;'Characteristics&amp;Parameters'!$B$17,ConcentrationsCalculations!I589+1,IF(I589="DS Node","",IF(I589="","","DS Node")))</f>
        <v/>
      </c>
      <c r="J590" s="13" t="str">
        <f>IF(I590="DS Node",'Characteristics&amp;Parameters'!$B$8,IF(I590&lt;='Characteristics&amp;Parameters'!$B$17,((1-'Characteristics&amp;Parameters'!$B$19)*ConcentrationsCalculations!F590+'Characteristics&amp;Parameters'!$B$19*ConcentrationsCalculations!F589-F590/86400*'Characteristics&amp;Parameters'!$B$11*'Characteristics&amp;Parameters'!$B$12),""))</f>
        <v/>
      </c>
    </row>
    <row r="591" spans="1:10" x14ac:dyDescent="0.5">
      <c r="A591" s="7" t="str">
        <f>IF(A590&lt;'Characteristics&amp;Parameters'!$B$17,ConcentrationsCalculations!A590+1,IF(A590="DS Node","",IF(A590="","","DS Node")))</f>
        <v/>
      </c>
      <c r="B591" s="8" t="str">
        <f>IF(A591&lt;='Characteristics&amp;Parameters'!$B$17,'Characteristics&amp;Parameters'!$B$7,IF(ConcentrationsCalculations!A591="DS Node",'Characteristics&amp;Parameters'!$B$8,""))</f>
        <v/>
      </c>
      <c r="C591" s="8"/>
      <c r="E591" s="7" t="s">
        <v>25</v>
      </c>
      <c r="F591" s="8" t="s">
        <v>25</v>
      </c>
      <c r="I591" s="7" t="str">
        <f>IF(I590&lt;'Characteristics&amp;Parameters'!$B$17,ConcentrationsCalculations!I590+1,IF(I590="DS Node","",IF(I590="","","DS Node")))</f>
        <v/>
      </c>
      <c r="J591" s="13" t="str">
        <f>IF(I591="DS Node",'Characteristics&amp;Parameters'!$B$8,IF(I591&lt;='Characteristics&amp;Parameters'!$B$17,((1-'Characteristics&amp;Parameters'!$B$19)*ConcentrationsCalculations!F591+'Characteristics&amp;Parameters'!$B$19*ConcentrationsCalculations!F590-F591/86400*'Characteristics&amp;Parameters'!$B$11*'Characteristics&amp;Parameters'!$B$12),""))</f>
        <v/>
      </c>
    </row>
    <row r="592" spans="1:10" x14ac:dyDescent="0.5">
      <c r="A592" s="7" t="str">
        <f>IF(A591&lt;'Characteristics&amp;Parameters'!$B$17,ConcentrationsCalculations!A591+1,IF(A591="DS Node","",IF(A591="","","DS Node")))</f>
        <v/>
      </c>
      <c r="B592" s="8" t="str">
        <f>IF(A592&lt;='Characteristics&amp;Parameters'!$B$17,'Characteristics&amp;Parameters'!$B$7,IF(ConcentrationsCalculations!A592="DS Node",'Characteristics&amp;Parameters'!$B$8,""))</f>
        <v/>
      </c>
      <c r="C592" s="8"/>
      <c r="E592" s="7" t="s">
        <v>25</v>
      </c>
      <c r="F592" s="8" t="s">
        <v>25</v>
      </c>
      <c r="I592" s="7" t="str">
        <f>IF(I591&lt;'Characteristics&amp;Parameters'!$B$17,ConcentrationsCalculations!I591+1,IF(I591="DS Node","",IF(I591="","","DS Node")))</f>
        <v/>
      </c>
      <c r="J592" s="13" t="str">
        <f>IF(I592="DS Node",'Characteristics&amp;Parameters'!$B$8,IF(I592&lt;='Characteristics&amp;Parameters'!$B$17,((1-'Characteristics&amp;Parameters'!$B$19)*ConcentrationsCalculations!F592+'Characteristics&amp;Parameters'!$B$19*ConcentrationsCalculations!F591-F592/86400*'Characteristics&amp;Parameters'!$B$11*'Characteristics&amp;Parameters'!$B$12),""))</f>
        <v/>
      </c>
    </row>
    <row r="593" spans="1:10" x14ac:dyDescent="0.5">
      <c r="A593" s="7" t="str">
        <f>IF(A592&lt;'Characteristics&amp;Parameters'!$B$17,ConcentrationsCalculations!A592+1,IF(A592="DS Node","",IF(A592="","","DS Node")))</f>
        <v/>
      </c>
      <c r="B593" s="8" t="str">
        <f>IF(A593&lt;='Characteristics&amp;Parameters'!$B$17,'Characteristics&amp;Parameters'!$B$7,IF(ConcentrationsCalculations!A593="DS Node",'Characteristics&amp;Parameters'!$B$8,""))</f>
        <v/>
      </c>
      <c r="C593" s="8"/>
      <c r="E593" s="7" t="s">
        <v>25</v>
      </c>
      <c r="F593" s="8" t="s">
        <v>25</v>
      </c>
      <c r="I593" s="7" t="str">
        <f>IF(I592&lt;'Characteristics&amp;Parameters'!$B$17,ConcentrationsCalculations!I592+1,IF(I592="DS Node","",IF(I592="","","DS Node")))</f>
        <v/>
      </c>
      <c r="J593" s="13" t="str">
        <f>IF(I593="DS Node",'Characteristics&amp;Parameters'!$B$8,IF(I593&lt;='Characteristics&amp;Parameters'!$B$17,((1-'Characteristics&amp;Parameters'!$B$19)*ConcentrationsCalculations!F593+'Characteristics&amp;Parameters'!$B$19*ConcentrationsCalculations!F592-F593/86400*'Characteristics&amp;Parameters'!$B$11*'Characteristics&amp;Parameters'!$B$12),""))</f>
        <v/>
      </c>
    </row>
    <row r="594" spans="1:10" x14ac:dyDescent="0.5">
      <c r="A594" s="7" t="str">
        <f>IF(A593&lt;'Characteristics&amp;Parameters'!$B$17,ConcentrationsCalculations!A593+1,IF(A593="DS Node","",IF(A593="","","DS Node")))</f>
        <v/>
      </c>
      <c r="B594" s="8" t="str">
        <f>IF(A594&lt;='Characteristics&amp;Parameters'!$B$17,'Characteristics&amp;Parameters'!$B$7,IF(ConcentrationsCalculations!A594="DS Node",'Characteristics&amp;Parameters'!$B$8,""))</f>
        <v/>
      </c>
      <c r="C594" s="8"/>
      <c r="E594" s="7" t="s">
        <v>25</v>
      </c>
      <c r="F594" s="8" t="s">
        <v>25</v>
      </c>
      <c r="I594" s="7" t="str">
        <f>IF(I593&lt;'Characteristics&amp;Parameters'!$B$17,ConcentrationsCalculations!I593+1,IF(I593="DS Node","",IF(I593="","","DS Node")))</f>
        <v/>
      </c>
      <c r="J594" s="13" t="str">
        <f>IF(I594="DS Node",'Characteristics&amp;Parameters'!$B$8,IF(I594&lt;='Characteristics&amp;Parameters'!$B$17,((1-'Characteristics&amp;Parameters'!$B$19)*ConcentrationsCalculations!F594+'Characteristics&amp;Parameters'!$B$19*ConcentrationsCalculations!F593-F594/86400*'Characteristics&amp;Parameters'!$B$11*'Characteristics&amp;Parameters'!$B$12),""))</f>
        <v/>
      </c>
    </row>
    <row r="595" spans="1:10" x14ac:dyDescent="0.5">
      <c r="A595" s="7" t="str">
        <f>IF(A594&lt;'Characteristics&amp;Parameters'!$B$17,ConcentrationsCalculations!A594+1,IF(A594="DS Node","",IF(A594="","","DS Node")))</f>
        <v/>
      </c>
      <c r="B595" s="8" t="str">
        <f>IF(A595&lt;='Characteristics&amp;Parameters'!$B$17,'Characteristics&amp;Parameters'!$B$7,IF(ConcentrationsCalculations!A595="DS Node",'Characteristics&amp;Parameters'!$B$8,""))</f>
        <v/>
      </c>
      <c r="C595" s="8"/>
      <c r="E595" s="7" t="s">
        <v>25</v>
      </c>
      <c r="F595" s="8" t="s">
        <v>25</v>
      </c>
      <c r="I595" s="7" t="str">
        <f>IF(I594&lt;'Characteristics&amp;Parameters'!$B$17,ConcentrationsCalculations!I594+1,IF(I594="DS Node","",IF(I594="","","DS Node")))</f>
        <v/>
      </c>
      <c r="J595" s="13" t="str">
        <f>IF(I595="DS Node",'Characteristics&amp;Parameters'!$B$8,IF(I595&lt;='Characteristics&amp;Parameters'!$B$17,((1-'Characteristics&amp;Parameters'!$B$19)*ConcentrationsCalculations!F595+'Characteristics&amp;Parameters'!$B$19*ConcentrationsCalculations!F594-F595/86400*'Characteristics&amp;Parameters'!$B$11*'Characteristics&amp;Parameters'!$B$12),""))</f>
        <v/>
      </c>
    </row>
    <row r="596" spans="1:10" x14ac:dyDescent="0.5">
      <c r="A596" s="7" t="str">
        <f>IF(A595&lt;'Characteristics&amp;Parameters'!$B$17,ConcentrationsCalculations!A595+1,IF(A595="DS Node","",IF(A595="","","DS Node")))</f>
        <v/>
      </c>
      <c r="B596" s="8" t="str">
        <f>IF(A596&lt;='Characteristics&amp;Parameters'!$B$17,'Characteristics&amp;Parameters'!$B$7,IF(ConcentrationsCalculations!A596="DS Node",'Characteristics&amp;Parameters'!$B$8,""))</f>
        <v/>
      </c>
      <c r="C596" s="8"/>
      <c r="E596" s="7" t="s">
        <v>25</v>
      </c>
      <c r="F596" s="8" t="s">
        <v>25</v>
      </c>
      <c r="I596" s="7" t="str">
        <f>IF(I595&lt;'Characteristics&amp;Parameters'!$B$17,ConcentrationsCalculations!I595+1,IF(I595="DS Node","",IF(I595="","","DS Node")))</f>
        <v/>
      </c>
      <c r="J596" s="13" t="str">
        <f>IF(I596="DS Node",'Characteristics&amp;Parameters'!$B$8,IF(I596&lt;='Characteristics&amp;Parameters'!$B$17,((1-'Characteristics&amp;Parameters'!$B$19)*ConcentrationsCalculations!F596+'Characteristics&amp;Parameters'!$B$19*ConcentrationsCalculations!F595-F596/86400*'Characteristics&amp;Parameters'!$B$11*'Characteristics&amp;Parameters'!$B$12),""))</f>
        <v/>
      </c>
    </row>
    <row r="597" spans="1:10" x14ac:dyDescent="0.5">
      <c r="A597" s="7" t="str">
        <f>IF(A596&lt;'Characteristics&amp;Parameters'!$B$17,ConcentrationsCalculations!A596+1,IF(A596="DS Node","",IF(A596="","","DS Node")))</f>
        <v/>
      </c>
      <c r="B597" s="8" t="str">
        <f>IF(A597&lt;='Characteristics&amp;Parameters'!$B$17,'Characteristics&amp;Parameters'!$B$7,IF(ConcentrationsCalculations!A597="DS Node",'Characteristics&amp;Parameters'!$B$8,""))</f>
        <v/>
      </c>
      <c r="C597" s="8"/>
      <c r="E597" s="7" t="s">
        <v>25</v>
      </c>
      <c r="F597" s="8" t="s">
        <v>25</v>
      </c>
      <c r="I597" s="7" t="str">
        <f>IF(I596&lt;'Characteristics&amp;Parameters'!$B$17,ConcentrationsCalculations!I596+1,IF(I596="DS Node","",IF(I596="","","DS Node")))</f>
        <v/>
      </c>
      <c r="J597" s="13" t="str">
        <f>IF(I597="DS Node",'Characteristics&amp;Parameters'!$B$8,IF(I597&lt;='Characteristics&amp;Parameters'!$B$17,((1-'Characteristics&amp;Parameters'!$B$19)*ConcentrationsCalculations!F597+'Characteristics&amp;Parameters'!$B$19*ConcentrationsCalculations!F596-F597/86400*'Characteristics&amp;Parameters'!$B$11*'Characteristics&amp;Parameters'!$B$12),""))</f>
        <v/>
      </c>
    </row>
    <row r="598" spans="1:10" x14ac:dyDescent="0.5">
      <c r="A598" s="7" t="str">
        <f>IF(A597&lt;'Characteristics&amp;Parameters'!$B$17,ConcentrationsCalculations!A597+1,IF(A597="DS Node","",IF(A597="","","DS Node")))</f>
        <v/>
      </c>
      <c r="B598" s="8" t="str">
        <f>IF(A598&lt;='Characteristics&amp;Parameters'!$B$17,'Characteristics&amp;Parameters'!$B$7,IF(ConcentrationsCalculations!A598="DS Node",'Characteristics&amp;Parameters'!$B$8,""))</f>
        <v/>
      </c>
      <c r="C598" s="8"/>
      <c r="E598" s="7" t="s">
        <v>25</v>
      </c>
      <c r="F598" s="8" t="s">
        <v>25</v>
      </c>
      <c r="I598" s="7" t="str">
        <f>IF(I597&lt;'Characteristics&amp;Parameters'!$B$17,ConcentrationsCalculations!I597+1,IF(I597="DS Node","",IF(I597="","","DS Node")))</f>
        <v/>
      </c>
      <c r="J598" s="13" t="str">
        <f>IF(I598="DS Node",'Characteristics&amp;Parameters'!$B$8,IF(I598&lt;='Characteristics&amp;Parameters'!$B$17,((1-'Characteristics&amp;Parameters'!$B$19)*ConcentrationsCalculations!F598+'Characteristics&amp;Parameters'!$B$19*ConcentrationsCalculations!F597-F598/86400*'Characteristics&amp;Parameters'!$B$11*'Characteristics&amp;Parameters'!$B$12),""))</f>
        <v/>
      </c>
    </row>
    <row r="599" spans="1:10" x14ac:dyDescent="0.5">
      <c r="A599" s="7" t="str">
        <f>IF(A598&lt;'Characteristics&amp;Parameters'!$B$17,ConcentrationsCalculations!A598+1,IF(A598="DS Node","",IF(A598="","","DS Node")))</f>
        <v/>
      </c>
      <c r="B599" s="8" t="str">
        <f>IF(A599&lt;='Characteristics&amp;Parameters'!$B$17,'Characteristics&amp;Parameters'!$B$7,IF(ConcentrationsCalculations!A599="DS Node",'Characteristics&amp;Parameters'!$B$8,""))</f>
        <v/>
      </c>
      <c r="C599" s="8"/>
      <c r="E599" s="7" t="s">
        <v>25</v>
      </c>
      <c r="F599" s="8" t="s">
        <v>25</v>
      </c>
      <c r="I599" s="7" t="str">
        <f>IF(I598&lt;'Characteristics&amp;Parameters'!$B$17,ConcentrationsCalculations!I598+1,IF(I598="DS Node","",IF(I598="","","DS Node")))</f>
        <v/>
      </c>
      <c r="J599" s="13" t="str">
        <f>IF(I599="DS Node",'Characteristics&amp;Parameters'!$B$8,IF(I599&lt;='Characteristics&amp;Parameters'!$B$17,((1-'Characteristics&amp;Parameters'!$B$19)*ConcentrationsCalculations!F599+'Characteristics&amp;Parameters'!$B$19*ConcentrationsCalculations!F598-F599/86400*'Characteristics&amp;Parameters'!$B$11*'Characteristics&amp;Parameters'!$B$12),""))</f>
        <v/>
      </c>
    </row>
    <row r="600" spans="1:10" x14ac:dyDescent="0.5">
      <c r="A600" s="7" t="str">
        <f>IF(A599&lt;'Characteristics&amp;Parameters'!$B$17,ConcentrationsCalculations!A599+1,IF(A599="DS Node","",IF(A599="","","DS Node")))</f>
        <v/>
      </c>
      <c r="B600" s="8" t="str">
        <f>IF(A600&lt;='Characteristics&amp;Parameters'!$B$17,'Characteristics&amp;Parameters'!$B$7,IF(ConcentrationsCalculations!A600="DS Node",'Characteristics&amp;Parameters'!$B$8,""))</f>
        <v/>
      </c>
      <c r="C600" s="8"/>
      <c r="E600" s="7" t="s">
        <v>25</v>
      </c>
      <c r="F600" s="8" t="s">
        <v>25</v>
      </c>
      <c r="I600" s="7" t="str">
        <f>IF(I599&lt;'Characteristics&amp;Parameters'!$B$17,ConcentrationsCalculations!I599+1,IF(I599="DS Node","",IF(I599="","","DS Node")))</f>
        <v/>
      </c>
      <c r="J600" s="13" t="str">
        <f>IF(I600="DS Node",'Characteristics&amp;Parameters'!$B$8,IF(I600&lt;='Characteristics&amp;Parameters'!$B$17,((1-'Characteristics&amp;Parameters'!$B$19)*ConcentrationsCalculations!F600+'Characteristics&amp;Parameters'!$B$19*ConcentrationsCalculations!F599-F600/86400*'Characteristics&amp;Parameters'!$B$11*'Characteristics&amp;Parameters'!$B$12),""))</f>
        <v/>
      </c>
    </row>
    <row r="601" spans="1:10" x14ac:dyDescent="0.5">
      <c r="A601" s="7" t="str">
        <f>IF(A600&lt;'Characteristics&amp;Parameters'!$B$17,ConcentrationsCalculations!A600+1,IF(A600="DS Node","",IF(A600="","","DS Node")))</f>
        <v/>
      </c>
      <c r="B601" s="8" t="str">
        <f>IF(A601&lt;='Characteristics&amp;Parameters'!$B$17,'Characteristics&amp;Parameters'!$B$7,IF(ConcentrationsCalculations!A601="DS Node",'Characteristics&amp;Parameters'!$B$8,""))</f>
        <v/>
      </c>
      <c r="C601" s="8"/>
      <c r="E601" s="7" t="s">
        <v>25</v>
      </c>
      <c r="F601" s="8" t="s">
        <v>25</v>
      </c>
      <c r="I601" s="7" t="str">
        <f>IF(I600&lt;'Characteristics&amp;Parameters'!$B$17,ConcentrationsCalculations!I600+1,IF(I600="DS Node","",IF(I600="","","DS Node")))</f>
        <v/>
      </c>
      <c r="J601" s="13" t="str">
        <f>IF(I601="DS Node",'Characteristics&amp;Parameters'!$B$8,IF(I601&lt;='Characteristics&amp;Parameters'!$B$17,((1-'Characteristics&amp;Parameters'!$B$19)*ConcentrationsCalculations!F601+'Characteristics&amp;Parameters'!$B$19*ConcentrationsCalculations!F600-F601/86400*'Characteristics&amp;Parameters'!$B$11*'Characteristics&amp;Parameters'!$B$12),""))</f>
        <v/>
      </c>
    </row>
    <row r="602" spans="1:10" x14ac:dyDescent="0.5">
      <c r="A602" s="7" t="str">
        <f>IF(A601&lt;'Characteristics&amp;Parameters'!$B$17,ConcentrationsCalculations!A601+1,IF(A601="DS Node","",IF(A601="","","DS Node")))</f>
        <v/>
      </c>
      <c r="B602" s="8" t="str">
        <f>IF(A602&lt;='Characteristics&amp;Parameters'!$B$17,'Characteristics&amp;Parameters'!$B$7,IF(ConcentrationsCalculations!A602="DS Node",'Characteristics&amp;Parameters'!$B$8,""))</f>
        <v/>
      </c>
      <c r="C602" s="8"/>
      <c r="E602" s="7" t="s">
        <v>25</v>
      </c>
      <c r="F602" s="8" t="s">
        <v>25</v>
      </c>
      <c r="I602" s="7" t="str">
        <f>IF(I601&lt;'Characteristics&amp;Parameters'!$B$17,ConcentrationsCalculations!I601+1,IF(I601="DS Node","",IF(I601="","","DS Node")))</f>
        <v/>
      </c>
      <c r="J602" s="13" t="str">
        <f>IF(I602="DS Node",'Characteristics&amp;Parameters'!$B$8,IF(I602&lt;='Characteristics&amp;Parameters'!$B$17,((1-'Characteristics&amp;Parameters'!$B$19)*ConcentrationsCalculations!F602+'Characteristics&amp;Parameters'!$B$19*ConcentrationsCalculations!F601-F602/86400*'Characteristics&amp;Parameters'!$B$11*'Characteristics&amp;Parameters'!$B$12),""))</f>
        <v/>
      </c>
    </row>
    <row r="603" spans="1:10" x14ac:dyDescent="0.5">
      <c r="A603" s="7" t="str">
        <f>IF(A602&lt;'Characteristics&amp;Parameters'!$B$17,ConcentrationsCalculations!A602+1,IF(A602="DS Node","",IF(A602="","","DS Node")))</f>
        <v/>
      </c>
      <c r="B603" s="8" t="str">
        <f>IF(A603&lt;='Characteristics&amp;Parameters'!$B$17,'Characteristics&amp;Parameters'!$B$7,IF(ConcentrationsCalculations!A603="DS Node",'Characteristics&amp;Parameters'!$B$8,""))</f>
        <v/>
      </c>
      <c r="C603" s="8"/>
      <c r="E603" s="7" t="s">
        <v>25</v>
      </c>
      <c r="F603" s="8" t="s">
        <v>25</v>
      </c>
      <c r="I603" s="7" t="str">
        <f>IF(I602&lt;'Characteristics&amp;Parameters'!$B$17,ConcentrationsCalculations!I602+1,IF(I602="DS Node","",IF(I602="","","DS Node")))</f>
        <v/>
      </c>
      <c r="J603" s="13" t="str">
        <f>IF(I603="DS Node",'Characteristics&amp;Parameters'!$B$8,IF(I603&lt;='Characteristics&amp;Parameters'!$B$17,((1-'Characteristics&amp;Parameters'!$B$19)*ConcentrationsCalculations!F603+'Characteristics&amp;Parameters'!$B$19*ConcentrationsCalculations!F602-F603/86400*'Characteristics&amp;Parameters'!$B$11*'Characteristics&amp;Parameters'!$B$12),""))</f>
        <v/>
      </c>
    </row>
    <row r="604" spans="1:10" x14ac:dyDescent="0.5">
      <c r="A604" s="7" t="str">
        <f>IF(A603&lt;'Characteristics&amp;Parameters'!$B$17,ConcentrationsCalculations!A603+1,IF(A603="DS Node","",IF(A603="","","DS Node")))</f>
        <v/>
      </c>
      <c r="B604" s="8" t="str">
        <f>IF(A604&lt;='Characteristics&amp;Parameters'!$B$17,'Characteristics&amp;Parameters'!$B$7,IF(ConcentrationsCalculations!A604="DS Node",'Characteristics&amp;Parameters'!$B$8,""))</f>
        <v/>
      </c>
      <c r="C604" s="8"/>
      <c r="E604" s="7" t="s">
        <v>25</v>
      </c>
      <c r="F604" s="8" t="s">
        <v>25</v>
      </c>
      <c r="I604" s="7" t="str">
        <f>IF(I603&lt;'Characteristics&amp;Parameters'!$B$17,ConcentrationsCalculations!I603+1,IF(I603="DS Node","",IF(I603="","","DS Node")))</f>
        <v/>
      </c>
      <c r="J604" s="13" t="str">
        <f>IF(I604="DS Node",'Characteristics&amp;Parameters'!$B$8,IF(I604&lt;='Characteristics&amp;Parameters'!$B$17,((1-'Characteristics&amp;Parameters'!$B$19)*ConcentrationsCalculations!F604+'Characteristics&amp;Parameters'!$B$19*ConcentrationsCalculations!F603-F604/86400*'Characteristics&amp;Parameters'!$B$11*'Characteristics&amp;Parameters'!$B$12),""))</f>
        <v/>
      </c>
    </row>
    <row r="605" spans="1:10" x14ac:dyDescent="0.5">
      <c r="A605" s="7" t="str">
        <f>IF(A604&lt;'Characteristics&amp;Parameters'!$B$17,ConcentrationsCalculations!A604+1,IF(A604="DS Node","",IF(A604="","","DS Node")))</f>
        <v/>
      </c>
      <c r="B605" s="8" t="str">
        <f>IF(A605&lt;='Characteristics&amp;Parameters'!$B$17,'Characteristics&amp;Parameters'!$B$7,IF(ConcentrationsCalculations!A605="DS Node",'Characteristics&amp;Parameters'!$B$8,""))</f>
        <v/>
      </c>
      <c r="C605" s="8"/>
      <c r="E605" s="7" t="s">
        <v>25</v>
      </c>
      <c r="F605" s="8" t="s">
        <v>25</v>
      </c>
      <c r="I605" s="7" t="str">
        <f>IF(I604&lt;'Characteristics&amp;Parameters'!$B$17,ConcentrationsCalculations!I604+1,IF(I604="DS Node","",IF(I604="","","DS Node")))</f>
        <v/>
      </c>
      <c r="J605" s="13" t="str">
        <f>IF(I605="DS Node",'Characteristics&amp;Parameters'!$B$8,IF(I605&lt;='Characteristics&amp;Parameters'!$B$17,((1-'Characteristics&amp;Parameters'!$B$19)*ConcentrationsCalculations!F605+'Characteristics&amp;Parameters'!$B$19*ConcentrationsCalculations!F604-F605/86400*'Characteristics&amp;Parameters'!$B$11*'Characteristics&amp;Parameters'!$B$12),""))</f>
        <v/>
      </c>
    </row>
    <row r="606" spans="1:10" x14ac:dyDescent="0.5">
      <c r="A606" s="7" t="str">
        <f>IF(A605&lt;'Characteristics&amp;Parameters'!$B$17,ConcentrationsCalculations!A605+1,IF(A605="DS Node","",IF(A605="","","DS Node")))</f>
        <v/>
      </c>
      <c r="B606" s="8" t="str">
        <f>IF(A606&lt;='Characteristics&amp;Parameters'!$B$17,'Characteristics&amp;Parameters'!$B$7,IF(ConcentrationsCalculations!A606="DS Node",'Characteristics&amp;Parameters'!$B$8,""))</f>
        <v/>
      </c>
      <c r="C606" s="8"/>
      <c r="E606" s="7" t="s">
        <v>25</v>
      </c>
      <c r="F606" s="8" t="s">
        <v>25</v>
      </c>
      <c r="I606" s="7" t="str">
        <f>IF(I605&lt;'Characteristics&amp;Parameters'!$B$17,ConcentrationsCalculations!I605+1,IF(I605="DS Node","",IF(I605="","","DS Node")))</f>
        <v/>
      </c>
      <c r="J606" s="13" t="str">
        <f>IF(I606="DS Node",'Characteristics&amp;Parameters'!$B$8,IF(I606&lt;='Characteristics&amp;Parameters'!$B$17,((1-'Characteristics&amp;Parameters'!$B$19)*ConcentrationsCalculations!F606+'Characteristics&amp;Parameters'!$B$19*ConcentrationsCalculations!F605-F606/86400*'Characteristics&amp;Parameters'!$B$11*'Characteristics&amp;Parameters'!$B$12),""))</f>
        <v/>
      </c>
    </row>
    <row r="607" spans="1:10" x14ac:dyDescent="0.5">
      <c r="A607" s="7" t="str">
        <f>IF(A606&lt;'Characteristics&amp;Parameters'!$B$17,ConcentrationsCalculations!A606+1,IF(A606="DS Node","",IF(A606="","","DS Node")))</f>
        <v/>
      </c>
      <c r="B607" s="8" t="str">
        <f>IF(A607&lt;='Characteristics&amp;Parameters'!$B$17,'Characteristics&amp;Parameters'!$B$7,IF(ConcentrationsCalculations!A607="DS Node",'Characteristics&amp;Parameters'!$B$8,""))</f>
        <v/>
      </c>
      <c r="C607" s="8"/>
      <c r="E607" s="7" t="s">
        <v>25</v>
      </c>
      <c r="F607" s="8" t="s">
        <v>25</v>
      </c>
      <c r="I607" s="7" t="str">
        <f>IF(I606&lt;'Characteristics&amp;Parameters'!$B$17,ConcentrationsCalculations!I606+1,IF(I606="DS Node","",IF(I606="","","DS Node")))</f>
        <v/>
      </c>
      <c r="J607" s="13" t="str">
        <f>IF(I607="DS Node",'Characteristics&amp;Parameters'!$B$8,IF(I607&lt;='Characteristics&amp;Parameters'!$B$17,((1-'Characteristics&amp;Parameters'!$B$19)*ConcentrationsCalculations!F607+'Characteristics&amp;Parameters'!$B$19*ConcentrationsCalculations!F606-F607/86400*'Characteristics&amp;Parameters'!$B$11*'Characteristics&amp;Parameters'!$B$12),""))</f>
        <v/>
      </c>
    </row>
    <row r="608" spans="1:10" x14ac:dyDescent="0.5">
      <c r="A608" s="7" t="str">
        <f>IF(A607&lt;'Characteristics&amp;Parameters'!$B$17,ConcentrationsCalculations!A607+1,IF(A607="DS Node","",IF(A607="","","DS Node")))</f>
        <v/>
      </c>
      <c r="B608" s="8" t="str">
        <f>IF(A608&lt;='Characteristics&amp;Parameters'!$B$17,'Characteristics&amp;Parameters'!$B$7,IF(ConcentrationsCalculations!A608="DS Node",'Characteristics&amp;Parameters'!$B$8,""))</f>
        <v/>
      </c>
      <c r="C608" s="8"/>
      <c r="E608" s="7" t="s">
        <v>25</v>
      </c>
      <c r="F608" s="8" t="s">
        <v>25</v>
      </c>
      <c r="I608" s="7" t="str">
        <f>IF(I607&lt;'Characteristics&amp;Parameters'!$B$17,ConcentrationsCalculations!I607+1,IF(I607="DS Node","",IF(I607="","","DS Node")))</f>
        <v/>
      </c>
      <c r="J608" s="13" t="str">
        <f>IF(I608="DS Node",'Characteristics&amp;Parameters'!$B$8,IF(I608&lt;='Characteristics&amp;Parameters'!$B$17,((1-'Characteristics&amp;Parameters'!$B$19)*ConcentrationsCalculations!F608+'Characteristics&amp;Parameters'!$B$19*ConcentrationsCalculations!F607-F608/86400*'Characteristics&amp;Parameters'!$B$11*'Characteristics&amp;Parameters'!$B$12),""))</f>
        <v/>
      </c>
    </row>
    <row r="609" spans="1:10" x14ac:dyDescent="0.5">
      <c r="A609" s="7" t="str">
        <f>IF(A608&lt;'Characteristics&amp;Parameters'!$B$17,ConcentrationsCalculations!A608+1,IF(A608="DS Node","",IF(A608="","","DS Node")))</f>
        <v/>
      </c>
      <c r="B609" s="8" t="str">
        <f>IF(A609&lt;='Characteristics&amp;Parameters'!$B$17,'Characteristics&amp;Parameters'!$B$7,IF(ConcentrationsCalculations!A609="DS Node",'Characteristics&amp;Parameters'!$B$8,""))</f>
        <v/>
      </c>
      <c r="C609" s="8"/>
      <c r="E609" s="7" t="s">
        <v>25</v>
      </c>
      <c r="F609" s="8" t="s">
        <v>25</v>
      </c>
      <c r="I609" s="7" t="str">
        <f>IF(I608&lt;'Characteristics&amp;Parameters'!$B$17,ConcentrationsCalculations!I608+1,IF(I608="DS Node","",IF(I608="","","DS Node")))</f>
        <v/>
      </c>
      <c r="J609" s="13" t="str">
        <f>IF(I609="DS Node",'Characteristics&amp;Parameters'!$B$8,IF(I609&lt;='Characteristics&amp;Parameters'!$B$17,((1-'Characteristics&amp;Parameters'!$B$19)*ConcentrationsCalculations!F609+'Characteristics&amp;Parameters'!$B$19*ConcentrationsCalculations!F608-F609/86400*'Characteristics&amp;Parameters'!$B$11*'Characteristics&amp;Parameters'!$B$12),""))</f>
        <v/>
      </c>
    </row>
    <row r="610" spans="1:10" x14ac:dyDescent="0.5">
      <c r="A610" s="7" t="str">
        <f>IF(A609&lt;'Characteristics&amp;Parameters'!$B$17,ConcentrationsCalculations!A609+1,IF(A609="DS Node","",IF(A609="","","DS Node")))</f>
        <v/>
      </c>
      <c r="B610" s="8" t="str">
        <f>IF(A610&lt;='Characteristics&amp;Parameters'!$B$17,'Characteristics&amp;Parameters'!$B$7,IF(ConcentrationsCalculations!A610="DS Node",'Characteristics&amp;Parameters'!$B$8,""))</f>
        <v/>
      </c>
      <c r="C610" s="8"/>
      <c r="E610" s="7" t="s">
        <v>25</v>
      </c>
      <c r="F610" s="8" t="s">
        <v>25</v>
      </c>
      <c r="I610" s="7" t="str">
        <f>IF(I609&lt;'Characteristics&amp;Parameters'!$B$17,ConcentrationsCalculations!I609+1,IF(I609="DS Node","",IF(I609="","","DS Node")))</f>
        <v/>
      </c>
      <c r="J610" s="13" t="str">
        <f>IF(I610="DS Node",'Characteristics&amp;Parameters'!$B$8,IF(I610&lt;='Characteristics&amp;Parameters'!$B$17,((1-'Characteristics&amp;Parameters'!$B$19)*ConcentrationsCalculations!F610+'Characteristics&amp;Parameters'!$B$19*ConcentrationsCalculations!F609-F610/86400*'Characteristics&amp;Parameters'!$B$11*'Characteristics&amp;Parameters'!$B$12),""))</f>
        <v/>
      </c>
    </row>
    <row r="611" spans="1:10" x14ac:dyDescent="0.5">
      <c r="A611" s="7" t="str">
        <f>IF(A610&lt;'Characteristics&amp;Parameters'!$B$17,ConcentrationsCalculations!A610+1,IF(A610="DS Node","",IF(A610="","","DS Node")))</f>
        <v/>
      </c>
      <c r="B611" s="8" t="str">
        <f>IF(A611&lt;='Characteristics&amp;Parameters'!$B$17,'Characteristics&amp;Parameters'!$B$7,IF(ConcentrationsCalculations!A611="DS Node",'Characteristics&amp;Parameters'!$B$8,""))</f>
        <v/>
      </c>
      <c r="C611" s="8"/>
      <c r="E611" s="7" t="s">
        <v>25</v>
      </c>
      <c r="F611" s="8" t="s">
        <v>25</v>
      </c>
      <c r="I611" s="7" t="str">
        <f>IF(I610&lt;'Characteristics&amp;Parameters'!$B$17,ConcentrationsCalculations!I610+1,IF(I610="DS Node","",IF(I610="","","DS Node")))</f>
        <v/>
      </c>
      <c r="J611" s="13" t="str">
        <f>IF(I611="DS Node",'Characteristics&amp;Parameters'!$B$8,IF(I611&lt;='Characteristics&amp;Parameters'!$B$17,((1-'Characteristics&amp;Parameters'!$B$19)*ConcentrationsCalculations!F611+'Characteristics&amp;Parameters'!$B$19*ConcentrationsCalculations!F610-F611/86400*'Characteristics&amp;Parameters'!$B$11*'Characteristics&amp;Parameters'!$B$12),""))</f>
        <v/>
      </c>
    </row>
    <row r="612" spans="1:10" x14ac:dyDescent="0.5">
      <c r="A612" s="7" t="str">
        <f>IF(A611&lt;'Characteristics&amp;Parameters'!$B$17,ConcentrationsCalculations!A611+1,IF(A611="DS Node","",IF(A611="","","DS Node")))</f>
        <v/>
      </c>
      <c r="B612" s="8" t="str">
        <f>IF(A612&lt;='Characteristics&amp;Parameters'!$B$17,'Characteristics&amp;Parameters'!$B$7,IF(ConcentrationsCalculations!A612="DS Node",'Characteristics&amp;Parameters'!$B$8,""))</f>
        <v/>
      </c>
      <c r="C612" s="8"/>
      <c r="E612" s="7" t="s">
        <v>25</v>
      </c>
      <c r="F612" s="8" t="s">
        <v>25</v>
      </c>
      <c r="I612" s="7" t="str">
        <f>IF(I611&lt;'Characteristics&amp;Parameters'!$B$17,ConcentrationsCalculations!I611+1,IF(I611="DS Node","",IF(I611="","","DS Node")))</f>
        <v/>
      </c>
      <c r="J612" s="13" t="str">
        <f>IF(I612="DS Node",'Characteristics&amp;Parameters'!$B$8,IF(I612&lt;='Characteristics&amp;Parameters'!$B$17,((1-'Characteristics&amp;Parameters'!$B$19)*ConcentrationsCalculations!F612+'Characteristics&amp;Parameters'!$B$19*ConcentrationsCalculations!F611-F612/86400*'Characteristics&amp;Parameters'!$B$11*'Characteristics&amp;Parameters'!$B$12),""))</f>
        <v/>
      </c>
    </row>
    <row r="613" spans="1:10" x14ac:dyDescent="0.5">
      <c r="A613" s="7" t="str">
        <f>IF(A612&lt;'Characteristics&amp;Parameters'!$B$17,ConcentrationsCalculations!A612+1,IF(A612="DS Node","",IF(A612="","","DS Node")))</f>
        <v/>
      </c>
      <c r="B613" s="8" t="str">
        <f>IF(A613&lt;='Characteristics&amp;Parameters'!$B$17,'Characteristics&amp;Parameters'!$B$7,IF(ConcentrationsCalculations!A613="DS Node",'Characteristics&amp;Parameters'!$B$8,""))</f>
        <v/>
      </c>
      <c r="C613" s="8"/>
      <c r="E613" s="7" t="s">
        <v>25</v>
      </c>
      <c r="F613" s="8" t="s">
        <v>25</v>
      </c>
      <c r="I613" s="7" t="str">
        <f>IF(I612&lt;'Characteristics&amp;Parameters'!$B$17,ConcentrationsCalculations!I612+1,IF(I612="DS Node","",IF(I612="","","DS Node")))</f>
        <v/>
      </c>
      <c r="J613" s="13" t="str">
        <f>IF(I613="DS Node",'Characteristics&amp;Parameters'!$B$8,IF(I613&lt;='Characteristics&amp;Parameters'!$B$17,((1-'Characteristics&amp;Parameters'!$B$19)*ConcentrationsCalculations!F613+'Characteristics&amp;Parameters'!$B$19*ConcentrationsCalculations!F612-F613/86400*'Characteristics&amp;Parameters'!$B$11*'Characteristics&amp;Parameters'!$B$12),""))</f>
        <v/>
      </c>
    </row>
    <row r="614" spans="1:10" x14ac:dyDescent="0.5">
      <c r="A614" s="7" t="str">
        <f>IF(A613&lt;'Characteristics&amp;Parameters'!$B$17,ConcentrationsCalculations!A613+1,IF(A613="DS Node","",IF(A613="","","DS Node")))</f>
        <v/>
      </c>
      <c r="B614" s="8" t="str">
        <f>IF(A614&lt;='Characteristics&amp;Parameters'!$B$17,'Characteristics&amp;Parameters'!$B$7,IF(ConcentrationsCalculations!A614="DS Node",'Characteristics&amp;Parameters'!$B$8,""))</f>
        <v/>
      </c>
      <c r="C614" s="8"/>
      <c r="E614" s="7" t="s">
        <v>25</v>
      </c>
      <c r="F614" s="8" t="s">
        <v>25</v>
      </c>
      <c r="I614" s="7" t="str">
        <f>IF(I613&lt;'Characteristics&amp;Parameters'!$B$17,ConcentrationsCalculations!I613+1,IF(I613="DS Node","",IF(I613="","","DS Node")))</f>
        <v/>
      </c>
      <c r="J614" s="13" t="str">
        <f>IF(I614="DS Node",'Characteristics&amp;Parameters'!$B$8,IF(I614&lt;='Characteristics&amp;Parameters'!$B$17,((1-'Characteristics&amp;Parameters'!$B$19)*ConcentrationsCalculations!F614+'Characteristics&amp;Parameters'!$B$19*ConcentrationsCalculations!F613-F614/86400*'Characteristics&amp;Parameters'!$B$11*'Characteristics&amp;Parameters'!$B$12),""))</f>
        <v/>
      </c>
    </row>
    <row r="615" spans="1:10" x14ac:dyDescent="0.5">
      <c r="A615" s="7" t="str">
        <f>IF(A614&lt;'Characteristics&amp;Parameters'!$B$17,ConcentrationsCalculations!A614+1,IF(A614="DS Node","",IF(A614="","","DS Node")))</f>
        <v/>
      </c>
      <c r="B615" s="8" t="str">
        <f>IF(A615&lt;='Characteristics&amp;Parameters'!$B$17,'Characteristics&amp;Parameters'!$B$7,IF(ConcentrationsCalculations!A615="DS Node",'Characteristics&amp;Parameters'!$B$8,""))</f>
        <v/>
      </c>
      <c r="C615" s="8"/>
      <c r="E615" s="7" t="s">
        <v>25</v>
      </c>
      <c r="F615" s="8" t="s">
        <v>25</v>
      </c>
      <c r="I615" s="7" t="str">
        <f>IF(I614&lt;'Characteristics&amp;Parameters'!$B$17,ConcentrationsCalculations!I614+1,IF(I614="DS Node","",IF(I614="","","DS Node")))</f>
        <v/>
      </c>
      <c r="J615" s="13" t="str">
        <f>IF(I615="DS Node",'Characteristics&amp;Parameters'!$B$8,IF(I615&lt;='Characteristics&amp;Parameters'!$B$17,((1-'Characteristics&amp;Parameters'!$B$19)*ConcentrationsCalculations!F615+'Characteristics&amp;Parameters'!$B$19*ConcentrationsCalculations!F614-F615/86400*'Characteristics&amp;Parameters'!$B$11*'Characteristics&amp;Parameters'!$B$12),""))</f>
        <v/>
      </c>
    </row>
    <row r="616" spans="1:10" x14ac:dyDescent="0.5">
      <c r="A616" s="7" t="str">
        <f>IF(A615&lt;'Characteristics&amp;Parameters'!$B$17,ConcentrationsCalculations!A615+1,IF(A615="DS Node","",IF(A615="","","DS Node")))</f>
        <v/>
      </c>
      <c r="B616" s="8" t="str">
        <f>IF(A616&lt;='Characteristics&amp;Parameters'!$B$17,'Characteristics&amp;Parameters'!$B$7,IF(ConcentrationsCalculations!A616="DS Node",'Characteristics&amp;Parameters'!$B$8,""))</f>
        <v/>
      </c>
      <c r="C616" s="8"/>
      <c r="E616" s="7" t="s">
        <v>25</v>
      </c>
      <c r="F616" s="8" t="s">
        <v>25</v>
      </c>
      <c r="I616" s="7" t="str">
        <f>IF(I615&lt;'Characteristics&amp;Parameters'!$B$17,ConcentrationsCalculations!I615+1,IF(I615="DS Node","",IF(I615="","","DS Node")))</f>
        <v/>
      </c>
      <c r="J616" s="13" t="str">
        <f>IF(I616="DS Node",'Characteristics&amp;Parameters'!$B$8,IF(I616&lt;='Characteristics&amp;Parameters'!$B$17,((1-'Characteristics&amp;Parameters'!$B$19)*ConcentrationsCalculations!F616+'Characteristics&amp;Parameters'!$B$19*ConcentrationsCalculations!F615-F616/86400*'Characteristics&amp;Parameters'!$B$11*'Characteristics&amp;Parameters'!$B$12),""))</f>
        <v/>
      </c>
    </row>
    <row r="617" spans="1:10" x14ac:dyDescent="0.5">
      <c r="A617" s="7" t="str">
        <f>IF(A616&lt;'Characteristics&amp;Parameters'!$B$17,ConcentrationsCalculations!A616+1,IF(A616="DS Node","",IF(A616="","","DS Node")))</f>
        <v/>
      </c>
      <c r="B617" s="8" t="str">
        <f>IF(A617&lt;='Characteristics&amp;Parameters'!$B$17,'Characteristics&amp;Parameters'!$B$7,IF(ConcentrationsCalculations!A617="DS Node",'Characteristics&amp;Parameters'!$B$8,""))</f>
        <v/>
      </c>
      <c r="C617" s="8"/>
      <c r="E617" s="7" t="s">
        <v>25</v>
      </c>
      <c r="F617" s="8" t="s">
        <v>25</v>
      </c>
      <c r="I617" s="7" t="str">
        <f>IF(I616&lt;'Characteristics&amp;Parameters'!$B$17,ConcentrationsCalculations!I616+1,IF(I616="DS Node","",IF(I616="","","DS Node")))</f>
        <v/>
      </c>
      <c r="J617" s="13" t="str">
        <f>IF(I617="DS Node",'Characteristics&amp;Parameters'!$B$8,IF(I617&lt;='Characteristics&amp;Parameters'!$B$17,((1-'Characteristics&amp;Parameters'!$B$19)*ConcentrationsCalculations!F617+'Characteristics&amp;Parameters'!$B$19*ConcentrationsCalculations!F616-F617/86400*'Characteristics&amp;Parameters'!$B$11*'Characteristics&amp;Parameters'!$B$12),""))</f>
        <v/>
      </c>
    </row>
    <row r="618" spans="1:10" x14ac:dyDescent="0.5">
      <c r="A618" s="7" t="str">
        <f>IF(A617&lt;'Characteristics&amp;Parameters'!$B$17,ConcentrationsCalculations!A617+1,IF(A617="DS Node","",IF(A617="","","DS Node")))</f>
        <v/>
      </c>
      <c r="B618" s="8" t="str">
        <f>IF(A618&lt;='Characteristics&amp;Parameters'!$B$17,'Characteristics&amp;Parameters'!$B$7,IF(ConcentrationsCalculations!A618="DS Node",'Characteristics&amp;Parameters'!$B$8,""))</f>
        <v/>
      </c>
      <c r="C618" s="8"/>
      <c r="E618" s="7" t="s">
        <v>25</v>
      </c>
      <c r="F618" s="8" t="s">
        <v>25</v>
      </c>
      <c r="I618" s="7" t="str">
        <f>IF(I617&lt;'Characteristics&amp;Parameters'!$B$17,ConcentrationsCalculations!I617+1,IF(I617="DS Node","",IF(I617="","","DS Node")))</f>
        <v/>
      </c>
      <c r="J618" s="13" t="str">
        <f>IF(I618="DS Node",'Characteristics&amp;Parameters'!$B$8,IF(I618&lt;='Characteristics&amp;Parameters'!$B$17,((1-'Characteristics&amp;Parameters'!$B$19)*ConcentrationsCalculations!F618+'Characteristics&amp;Parameters'!$B$19*ConcentrationsCalculations!F617-F618/86400*'Characteristics&amp;Parameters'!$B$11*'Characteristics&amp;Parameters'!$B$12),""))</f>
        <v/>
      </c>
    </row>
    <row r="619" spans="1:10" x14ac:dyDescent="0.5">
      <c r="A619" s="7" t="str">
        <f>IF(A618&lt;'Characteristics&amp;Parameters'!$B$17,ConcentrationsCalculations!A618+1,IF(A618="DS Node","",IF(A618="","","DS Node")))</f>
        <v/>
      </c>
      <c r="B619" s="8" t="str">
        <f>IF(A619&lt;='Characteristics&amp;Parameters'!$B$17,'Characteristics&amp;Parameters'!$B$7,IF(ConcentrationsCalculations!A619="DS Node",'Characteristics&amp;Parameters'!$B$8,""))</f>
        <v/>
      </c>
      <c r="C619" s="8"/>
      <c r="E619" s="7" t="s">
        <v>25</v>
      </c>
      <c r="F619" s="8" t="s">
        <v>25</v>
      </c>
      <c r="I619" s="7" t="str">
        <f>IF(I618&lt;'Characteristics&amp;Parameters'!$B$17,ConcentrationsCalculations!I618+1,IF(I618="DS Node","",IF(I618="","","DS Node")))</f>
        <v/>
      </c>
      <c r="J619" s="13" t="str">
        <f>IF(I619="DS Node",'Characteristics&amp;Parameters'!$B$8,IF(I619&lt;='Characteristics&amp;Parameters'!$B$17,((1-'Characteristics&amp;Parameters'!$B$19)*ConcentrationsCalculations!F619+'Characteristics&amp;Parameters'!$B$19*ConcentrationsCalculations!F618-F619/86400*'Characteristics&amp;Parameters'!$B$11*'Characteristics&amp;Parameters'!$B$12),""))</f>
        <v/>
      </c>
    </row>
    <row r="620" spans="1:10" x14ac:dyDescent="0.5">
      <c r="A620" s="7" t="str">
        <f>IF(A619&lt;'Characteristics&amp;Parameters'!$B$17,ConcentrationsCalculations!A619+1,IF(A619="DS Node","",IF(A619="","","DS Node")))</f>
        <v/>
      </c>
      <c r="B620" s="8" t="str">
        <f>IF(A620&lt;='Characteristics&amp;Parameters'!$B$17,'Characteristics&amp;Parameters'!$B$7,IF(ConcentrationsCalculations!A620="DS Node",'Characteristics&amp;Parameters'!$B$8,""))</f>
        <v/>
      </c>
      <c r="C620" s="8"/>
      <c r="E620" s="7" t="s">
        <v>25</v>
      </c>
      <c r="F620" s="8" t="s">
        <v>25</v>
      </c>
      <c r="I620" s="7" t="str">
        <f>IF(I619&lt;'Characteristics&amp;Parameters'!$B$17,ConcentrationsCalculations!I619+1,IF(I619="DS Node","",IF(I619="","","DS Node")))</f>
        <v/>
      </c>
      <c r="J620" s="13" t="str">
        <f>IF(I620="DS Node",'Characteristics&amp;Parameters'!$B$8,IF(I620&lt;='Characteristics&amp;Parameters'!$B$17,((1-'Characteristics&amp;Parameters'!$B$19)*ConcentrationsCalculations!F620+'Characteristics&amp;Parameters'!$B$19*ConcentrationsCalculations!F619-F620/86400*'Characteristics&amp;Parameters'!$B$11*'Characteristics&amp;Parameters'!$B$12),""))</f>
        <v/>
      </c>
    </row>
    <row r="621" spans="1:10" x14ac:dyDescent="0.5">
      <c r="A621" s="7" t="str">
        <f>IF(A620&lt;'Characteristics&amp;Parameters'!$B$17,ConcentrationsCalculations!A620+1,IF(A620="DS Node","",IF(A620="","","DS Node")))</f>
        <v/>
      </c>
      <c r="B621" s="8" t="str">
        <f>IF(A621&lt;='Characteristics&amp;Parameters'!$B$17,'Characteristics&amp;Parameters'!$B$7,IF(ConcentrationsCalculations!A621="DS Node",'Characteristics&amp;Parameters'!$B$8,""))</f>
        <v/>
      </c>
      <c r="C621" s="8"/>
      <c r="E621" s="7" t="s">
        <v>25</v>
      </c>
      <c r="F621" s="8" t="s">
        <v>25</v>
      </c>
      <c r="I621" s="7" t="str">
        <f>IF(I620&lt;'Characteristics&amp;Parameters'!$B$17,ConcentrationsCalculations!I620+1,IF(I620="DS Node","",IF(I620="","","DS Node")))</f>
        <v/>
      </c>
      <c r="J621" s="13" t="str">
        <f>IF(I621="DS Node",'Characteristics&amp;Parameters'!$B$8,IF(I621&lt;='Characteristics&amp;Parameters'!$B$17,((1-'Characteristics&amp;Parameters'!$B$19)*ConcentrationsCalculations!F621+'Characteristics&amp;Parameters'!$B$19*ConcentrationsCalculations!F620-F621/86400*'Characteristics&amp;Parameters'!$B$11*'Characteristics&amp;Parameters'!$B$12),""))</f>
        <v/>
      </c>
    </row>
    <row r="622" spans="1:10" x14ac:dyDescent="0.5">
      <c r="A622" s="7" t="str">
        <f>IF(A621&lt;'Characteristics&amp;Parameters'!$B$17,ConcentrationsCalculations!A621+1,IF(A621="DS Node","",IF(A621="","","DS Node")))</f>
        <v/>
      </c>
      <c r="B622" s="8" t="str">
        <f>IF(A622&lt;='Characteristics&amp;Parameters'!$B$17,'Characteristics&amp;Parameters'!$B$7,IF(ConcentrationsCalculations!A622="DS Node",'Characteristics&amp;Parameters'!$B$8,""))</f>
        <v/>
      </c>
      <c r="C622" s="8"/>
      <c r="E622" s="7" t="s">
        <v>25</v>
      </c>
      <c r="F622" s="8" t="s">
        <v>25</v>
      </c>
      <c r="I622" s="7" t="str">
        <f>IF(I621&lt;'Characteristics&amp;Parameters'!$B$17,ConcentrationsCalculations!I621+1,IF(I621="DS Node","",IF(I621="","","DS Node")))</f>
        <v/>
      </c>
      <c r="J622" s="13" t="str">
        <f>IF(I622="DS Node",'Characteristics&amp;Parameters'!$B$8,IF(I622&lt;='Characteristics&amp;Parameters'!$B$17,((1-'Characteristics&amp;Parameters'!$B$19)*ConcentrationsCalculations!F622+'Characteristics&amp;Parameters'!$B$19*ConcentrationsCalculations!F621-F622/86400*'Characteristics&amp;Parameters'!$B$11*'Characteristics&amp;Parameters'!$B$12),""))</f>
        <v/>
      </c>
    </row>
    <row r="623" spans="1:10" x14ac:dyDescent="0.5">
      <c r="A623" s="7" t="str">
        <f>IF(A622&lt;'Characteristics&amp;Parameters'!$B$17,ConcentrationsCalculations!A622+1,IF(A622="DS Node","",IF(A622="","","DS Node")))</f>
        <v/>
      </c>
      <c r="B623" s="8" t="str">
        <f>IF(A623&lt;='Characteristics&amp;Parameters'!$B$17,'Characteristics&amp;Parameters'!$B$7,IF(ConcentrationsCalculations!A623="DS Node",'Characteristics&amp;Parameters'!$B$8,""))</f>
        <v/>
      </c>
      <c r="C623" s="8"/>
      <c r="E623" s="7" t="s">
        <v>25</v>
      </c>
      <c r="F623" s="8" t="s">
        <v>25</v>
      </c>
      <c r="I623" s="7" t="str">
        <f>IF(I622&lt;'Characteristics&amp;Parameters'!$B$17,ConcentrationsCalculations!I622+1,IF(I622="DS Node","",IF(I622="","","DS Node")))</f>
        <v/>
      </c>
      <c r="J623" s="13" t="str">
        <f>IF(I623="DS Node",'Characteristics&amp;Parameters'!$B$8,IF(I623&lt;='Characteristics&amp;Parameters'!$B$17,((1-'Characteristics&amp;Parameters'!$B$19)*ConcentrationsCalculations!F623+'Characteristics&amp;Parameters'!$B$19*ConcentrationsCalculations!F622-F623/86400*'Characteristics&amp;Parameters'!$B$11*'Characteristics&amp;Parameters'!$B$12),""))</f>
        <v/>
      </c>
    </row>
    <row r="624" spans="1:10" x14ac:dyDescent="0.5">
      <c r="A624" s="7" t="str">
        <f>IF(A623&lt;'Characteristics&amp;Parameters'!$B$17,ConcentrationsCalculations!A623+1,IF(A623="DS Node","",IF(A623="","","DS Node")))</f>
        <v/>
      </c>
      <c r="B624" s="8" t="str">
        <f>IF(A624&lt;='Characteristics&amp;Parameters'!$B$17,'Characteristics&amp;Parameters'!$B$7,IF(ConcentrationsCalculations!A624="DS Node",'Characteristics&amp;Parameters'!$B$8,""))</f>
        <v/>
      </c>
      <c r="C624" s="8"/>
      <c r="E624" s="7" t="s">
        <v>25</v>
      </c>
      <c r="F624" s="8" t="s">
        <v>25</v>
      </c>
      <c r="I624" s="7" t="str">
        <f>IF(I623&lt;'Characteristics&amp;Parameters'!$B$17,ConcentrationsCalculations!I623+1,IF(I623="DS Node","",IF(I623="","","DS Node")))</f>
        <v/>
      </c>
      <c r="J624" s="13" t="str">
        <f>IF(I624="DS Node",'Characteristics&amp;Parameters'!$B$8,IF(I624&lt;='Characteristics&amp;Parameters'!$B$17,((1-'Characteristics&amp;Parameters'!$B$19)*ConcentrationsCalculations!F624+'Characteristics&amp;Parameters'!$B$19*ConcentrationsCalculations!F623-F624/86400*'Characteristics&amp;Parameters'!$B$11*'Characteristics&amp;Parameters'!$B$12),""))</f>
        <v/>
      </c>
    </row>
    <row r="625" spans="1:10" x14ac:dyDescent="0.5">
      <c r="A625" s="7" t="str">
        <f>IF(A624&lt;'Characteristics&amp;Parameters'!$B$17,ConcentrationsCalculations!A624+1,IF(A624="DS Node","",IF(A624="","","DS Node")))</f>
        <v/>
      </c>
      <c r="B625" s="8" t="str">
        <f>IF(A625&lt;='Characteristics&amp;Parameters'!$B$17,'Characteristics&amp;Parameters'!$B$7,IF(ConcentrationsCalculations!A625="DS Node",'Characteristics&amp;Parameters'!$B$8,""))</f>
        <v/>
      </c>
      <c r="C625" s="8"/>
      <c r="E625" s="7" t="s">
        <v>25</v>
      </c>
      <c r="F625" s="8" t="s">
        <v>25</v>
      </c>
      <c r="I625" s="7" t="str">
        <f>IF(I624&lt;'Characteristics&amp;Parameters'!$B$17,ConcentrationsCalculations!I624+1,IF(I624="DS Node","",IF(I624="","","DS Node")))</f>
        <v/>
      </c>
      <c r="J625" s="13" t="str">
        <f>IF(I625="DS Node",'Characteristics&amp;Parameters'!$B$8,IF(I625&lt;='Characteristics&amp;Parameters'!$B$17,((1-'Characteristics&amp;Parameters'!$B$19)*ConcentrationsCalculations!F625+'Characteristics&amp;Parameters'!$B$19*ConcentrationsCalculations!F624-F625/86400*'Characteristics&amp;Parameters'!$B$11*'Characteristics&amp;Parameters'!$B$12),""))</f>
        <v/>
      </c>
    </row>
    <row r="626" spans="1:10" x14ac:dyDescent="0.5">
      <c r="A626" s="7" t="str">
        <f>IF(A625&lt;'Characteristics&amp;Parameters'!$B$17,ConcentrationsCalculations!A625+1,IF(A625="DS Node","",IF(A625="","","DS Node")))</f>
        <v/>
      </c>
      <c r="B626" s="8" t="str">
        <f>IF(A626&lt;='Characteristics&amp;Parameters'!$B$17,'Characteristics&amp;Parameters'!$B$7,IF(ConcentrationsCalculations!A626="DS Node",'Characteristics&amp;Parameters'!$B$8,""))</f>
        <v/>
      </c>
      <c r="C626" s="8"/>
      <c r="E626" s="7" t="s">
        <v>25</v>
      </c>
      <c r="F626" s="8" t="s">
        <v>25</v>
      </c>
      <c r="I626" s="7" t="str">
        <f>IF(I625&lt;'Characteristics&amp;Parameters'!$B$17,ConcentrationsCalculations!I625+1,IF(I625="DS Node","",IF(I625="","","DS Node")))</f>
        <v/>
      </c>
      <c r="J626" s="13" t="str">
        <f>IF(I626="DS Node",'Characteristics&amp;Parameters'!$B$8,IF(I626&lt;='Characteristics&amp;Parameters'!$B$17,((1-'Characteristics&amp;Parameters'!$B$19)*ConcentrationsCalculations!F626+'Characteristics&amp;Parameters'!$B$19*ConcentrationsCalculations!F625-F626/86400*'Characteristics&amp;Parameters'!$B$11*'Characteristics&amp;Parameters'!$B$12),""))</f>
        <v/>
      </c>
    </row>
    <row r="627" spans="1:10" x14ac:dyDescent="0.5">
      <c r="A627" s="7" t="str">
        <f>IF(A626&lt;'Characteristics&amp;Parameters'!$B$17,ConcentrationsCalculations!A626+1,IF(A626="DS Node","",IF(A626="","","DS Node")))</f>
        <v/>
      </c>
      <c r="B627" s="8" t="str">
        <f>IF(A627&lt;='Characteristics&amp;Parameters'!$B$17,'Characteristics&amp;Parameters'!$B$7,IF(ConcentrationsCalculations!A627="DS Node",'Characteristics&amp;Parameters'!$B$8,""))</f>
        <v/>
      </c>
      <c r="C627" s="8"/>
      <c r="E627" s="7" t="s">
        <v>25</v>
      </c>
      <c r="F627" s="8" t="s">
        <v>25</v>
      </c>
      <c r="I627" s="7" t="str">
        <f>IF(I626&lt;'Characteristics&amp;Parameters'!$B$17,ConcentrationsCalculations!I626+1,IF(I626="DS Node","",IF(I626="","","DS Node")))</f>
        <v/>
      </c>
      <c r="J627" s="13" t="str">
        <f>IF(I627="DS Node",'Characteristics&amp;Parameters'!$B$8,IF(I627&lt;='Characteristics&amp;Parameters'!$B$17,((1-'Characteristics&amp;Parameters'!$B$19)*ConcentrationsCalculations!F627+'Characteristics&amp;Parameters'!$B$19*ConcentrationsCalculations!F626-F627/86400*'Characteristics&amp;Parameters'!$B$11*'Characteristics&amp;Parameters'!$B$12),""))</f>
        <v/>
      </c>
    </row>
    <row r="628" spans="1:10" x14ac:dyDescent="0.5">
      <c r="A628" s="7" t="str">
        <f>IF(A627&lt;'Characteristics&amp;Parameters'!$B$17,ConcentrationsCalculations!A627+1,IF(A627="DS Node","",IF(A627="","","DS Node")))</f>
        <v/>
      </c>
      <c r="B628" s="8" t="str">
        <f>IF(A628&lt;='Characteristics&amp;Parameters'!$B$17,'Characteristics&amp;Parameters'!$B$7,IF(ConcentrationsCalculations!A628="DS Node",'Characteristics&amp;Parameters'!$B$8,""))</f>
        <v/>
      </c>
      <c r="C628" s="8"/>
      <c r="E628" s="7" t="s">
        <v>25</v>
      </c>
      <c r="F628" s="8" t="s">
        <v>25</v>
      </c>
      <c r="I628" s="7" t="str">
        <f>IF(I627&lt;'Characteristics&amp;Parameters'!$B$17,ConcentrationsCalculations!I627+1,IF(I627="DS Node","",IF(I627="","","DS Node")))</f>
        <v/>
      </c>
      <c r="J628" s="13" t="str">
        <f>IF(I628="DS Node",'Characteristics&amp;Parameters'!$B$8,IF(I628&lt;='Characteristics&amp;Parameters'!$B$17,((1-'Characteristics&amp;Parameters'!$B$19)*ConcentrationsCalculations!F628+'Characteristics&amp;Parameters'!$B$19*ConcentrationsCalculations!F627-F628/86400*'Characteristics&amp;Parameters'!$B$11*'Characteristics&amp;Parameters'!$B$12),""))</f>
        <v/>
      </c>
    </row>
    <row r="629" spans="1:10" x14ac:dyDescent="0.5">
      <c r="A629" s="7" t="str">
        <f>IF(A628&lt;'Characteristics&amp;Parameters'!$B$17,ConcentrationsCalculations!A628+1,IF(A628="DS Node","",IF(A628="","","DS Node")))</f>
        <v/>
      </c>
      <c r="B629" s="8" t="str">
        <f>IF(A629&lt;='Characteristics&amp;Parameters'!$B$17,'Characteristics&amp;Parameters'!$B$7,IF(ConcentrationsCalculations!A629="DS Node",'Characteristics&amp;Parameters'!$B$8,""))</f>
        <v/>
      </c>
      <c r="C629" s="8"/>
      <c r="E629" s="7" t="s">
        <v>25</v>
      </c>
      <c r="F629" s="8" t="s">
        <v>25</v>
      </c>
      <c r="I629" s="7" t="str">
        <f>IF(I628&lt;'Characteristics&amp;Parameters'!$B$17,ConcentrationsCalculations!I628+1,IF(I628="DS Node","",IF(I628="","","DS Node")))</f>
        <v/>
      </c>
      <c r="J629" s="13" t="str">
        <f>IF(I629="DS Node",'Characteristics&amp;Parameters'!$B$8,IF(I629&lt;='Characteristics&amp;Parameters'!$B$17,((1-'Characteristics&amp;Parameters'!$B$19)*ConcentrationsCalculations!F629+'Characteristics&amp;Parameters'!$B$19*ConcentrationsCalculations!F628-F629/86400*'Characteristics&amp;Parameters'!$B$11*'Characteristics&amp;Parameters'!$B$12),""))</f>
        <v/>
      </c>
    </row>
    <row r="630" spans="1:10" x14ac:dyDescent="0.5">
      <c r="A630" s="7" t="str">
        <f>IF(A629&lt;'Characteristics&amp;Parameters'!$B$17,ConcentrationsCalculations!A629+1,IF(A629="DS Node","",IF(A629="","","DS Node")))</f>
        <v/>
      </c>
      <c r="B630" s="8" t="str">
        <f>IF(A630&lt;='Characteristics&amp;Parameters'!$B$17,'Characteristics&amp;Parameters'!$B$7,IF(ConcentrationsCalculations!A630="DS Node",'Characteristics&amp;Parameters'!$B$8,""))</f>
        <v/>
      </c>
      <c r="C630" s="8"/>
      <c r="E630" s="7" t="s">
        <v>25</v>
      </c>
      <c r="F630" s="8" t="s">
        <v>25</v>
      </c>
      <c r="I630" s="7" t="str">
        <f>IF(I629&lt;'Characteristics&amp;Parameters'!$B$17,ConcentrationsCalculations!I629+1,IF(I629="DS Node","",IF(I629="","","DS Node")))</f>
        <v/>
      </c>
      <c r="J630" s="13" t="str">
        <f>IF(I630="DS Node",'Characteristics&amp;Parameters'!$B$8,IF(I630&lt;='Characteristics&amp;Parameters'!$B$17,((1-'Characteristics&amp;Parameters'!$B$19)*ConcentrationsCalculations!F630+'Characteristics&amp;Parameters'!$B$19*ConcentrationsCalculations!F629-F630/86400*'Characteristics&amp;Parameters'!$B$11*'Characteristics&amp;Parameters'!$B$12),""))</f>
        <v/>
      </c>
    </row>
    <row r="631" spans="1:10" x14ac:dyDescent="0.5">
      <c r="A631" s="7" t="str">
        <f>IF(A630&lt;'Characteristics&amp;Parameters'!$B$17,ConcentrationsCalculations!A630+1,IF(A630="DS Node","",IF(A630="","","DS Node")))</f>
        <v/>
      </c>
      <c r="B631" s="8" t="str">
        <f>IF(A631&lt;='Characteristics&amp;Parameters'!$B$17,'Characteristics&amp;Parameters'!$B$7,IF(ConcentrationsCalculations!A631="DS Node",'Characteristics&amp;Parameters'!$B$8,""))</f>
        <v/>
      </c>
      <c r="C631" s="8"/>
      <c r="E631" s="7" t="s">
        <v>25</v>
      </c>
      <c r="F631" s="8" t="s">
        <v>25</v>
      </c>
      <c r="I631" s="7" t="str">
        <f>IF(I630&lt;'Characteristics&amp;Parameters'!$B$17,ConcentrationsCalculations!I630+1,IF(I630="DS Node","",IF(I630="","","DS Node")))</f>
        <v/>
      </c>
      <c r="J631" s="13" t="str">
        <f>IF(I631="DS Node",'Characteristics&amp;Parameters'!$B$8,IF(I631&lt;='Characteristics&amp;Parameters'!$B$17,((1-'Characteristics&amp;Parameters'!$B$19)*ConcentrationsCalculations!F631+'Characteristics&amp;Parameters'!$B$19*ConcentrationsCalculations!F630-F631/86400*'Characteristics&amp;Parameters'!$B$11*'Characteristics&amp;Parameters'!$B$12),""))</f>
        <v/>
      </c>
    </row>
    <row r="632" spans="1:10" x14ac:dyDescent="0.5">
      <c r="A632" s="7" t="str">
        <f>IF(A631&lt;'Characteristics&amp;Parameters'!$B$17,ConcentrationsCalculations!A631+1,IF(A631="DS Node","",IF(A631="","","DS Node")))</f>
        <v/>
      </c>
      <c r="B632" s="8" t="str">
        <f>IF(A632&lt;='Characteristics&amp;Parameters'!$B$17,'Characteristics&amp;Parameters'!$B$7,IF(ConcentrationsCalculations!A632="DS Node",'Characteristics&amp;Parameters'!$B$8,""))</f>
        <v/>
      </c>
      <c r="C632" s="8"/>
      <c r="E632" s="7" t="s">
        <v>25</v>
      </c>
      <c r="F632" s="8" t="s">
        <v>25</v>
      </c>
      <c r="I632" s="7" t="str">
        <f>IF(I631&lt;'Characteristics&amp;Parameters'!$B$17,ConcentrationsCalculations!I631+1,IF(I631="DS Node","",IF(I631="","","DS Node")))</f>
        <v/>
      </c>
      <c r="J632" s="13" t="str">
        <f>IF(I632="DS Node",'Characteristics&amp;Parameters'!$B$8,IF(I632&lt;='Characteristics&amp;Parameters'!$B$17,((1-'Characteristics&amp;Parameters'!$B$19)*ConcentrationsCalculations!F632+'Characteristics&amp;Parameters'!$B$19*ConcentrationsCalculations!F631-F632/86400*'Characteristics&amp;Parameters'!$B$11*'Characteristics&amp;Parameters'!$B$12),""))</f>
        <v/>
      </c>
    </row>
    <row r="633" spans="1:10" x14ac:dyDescent="0.5">
      <c r="A633" s="7" t="str">
        <f>IF(A632&lt;'Characteristics&amp;Parameters'!$B$17,ConcentrationsCalculations!A632+1,IF(A632="DS Node","",IF(A632="","","DS Node")))</f>
        <v/>
      </c>
      <c r="B633" s="8" t="str">
        <f>IF(A633&lt;='Characteristics&amp;Parameters'!$B$17,'Characteristics&amp;Parameters'!$B$7,IF(ConcentrationsCalculations!A633="DS Node",'Characteristics&amp;Parameters'!$B$8,""))</f>
        <v/>
      </c>
      <c r="C633" s="8"/>
      <c r="E633" s="7" t="s">
        <v>25</v>
      </c>
      <c r="F633" s="8" t="s">
        <v>25</v>
      </c>
      <c r="I633" s="7" t="str">
        <f>IF(I632&lt;'Characteristics&amp;Parameters'!$B$17,ConcentrationsCalculations!I632+1,IF(I632="DS Node","",IF(I632="","","DS Node")))</f>
        <v/>
      </c>
      <c r="J633" s="13" t="str">
        <f>IF(I633="DS Node",'Characteristics&amp;Parameters'!$B$8,IF(I633&lt;='Characteristics&amp;Parameters'!$B$17,((1-'Characteristics&amp;Parameters'!$B$19)*ConcentrationsCalculations!F633+'Characteristics&amp;Parameters'!$B$19*ConcentrationsCalculations!F632-F633/86400*'Characteristics&amp;Parameters'!$B$11*'Characteristics&amp;Parameters'!$B$12),""))</f>
        <v/>
      </c>
    </row>
    <row r="634" spans="1:10" x14ac:dyDescent="0.5">
      <c r="A634" s="7" t="str">
        <f>IF(A633&lt;'Characteristics&amp;Parameters'!$B$17,ConcentrationsCalculations!A633+1,IF(A633="DS Node","",IF(A633="","","DS Node")))</f>
        <v/>
      </c>
      <c r="B634" s="8" t="str">
        <f>IF(A634&lt;='Characteristics&amp;Parameters'!$B$17,'Characteristics&amp;Parameters'!$B$7,IF(ConcentrationsCalculations!A634="DS Node",'Characteristics&amp;Parameters'!$B$8,""))</f>
        <v/>
      </c>
      <c r="C634" s="8"/>
      <c r="E634" s="7" t="s">
        <v>25</v>
      </c>
      <c r="F634" s="8" t="s">
        <v>25</v>
      </c>
      <c r="I634" s="7" t="str">
        <f>IF(I633&lt;'Characteristics&amp;Parameters'!$B$17,ConcentrationsCalculations!I633+1,IF(I633="DS Node","",IF(I633="","","DS Node")))</f>
        <v/>
      </c>
      <c r="J634" s="13" t="str">
        <f>IF(I634="DS Node",'Characteristics&amp;Parameters'!$B$8,IF(I634&lt;='Characteristics&amp;Parameters'!$B$17,((1-'Characteristics&amp;Parameters'!$B$19)*ConcentrationsCalculations!F634+'Characteristics&amp;Parameters'!$B$19*ConcentrationsCalculations!F633-F634/86400*'Characteristics&amp;Parameters'!$B$11*'Characteristics&amp;Parameters'!$B$12),""))</f>
        <v/>
      </c>
    </row>
    <row r="635" spans="1:10" x14ac:dyDescent="0.5">
      <c r="A635" s="7" t="str">
        <f>IF(A634&lt;'Characteristics&amp;Parameters'!$B$17,ConcentrationsCalculations!A634+1,IF(A634="DS Node","",IF(A634="","","DS Node")))</f>
        <v/>
      </c>
      <c r="B635" s="8" t="str">
        <f>IF(A635&lt;='Characteristics&amp;Parameters'!$B$17,'Characteristics&amp;Parameters'!$B$7,IF(ConcentrationsCalculations!A635="DS Node",'Characteristics&amp;Parameters'!$B$8,""))</f>
        <v/>
      </c>
      <c r="C635" s="8"/>
      <c r="E635" s="7" t="s">
        <v>25</v>
      </c>
      <c r="F635" s="8" t="s">
        <v>25</v>
      </c>
      <c r="I635" s="7" t="str">
        <f>IF(I634&lt;'Characteristics&amp;Parameters'!$B$17,ConcentrationsCalculations!I634+1,IF(I634="DS Node","",IF(I634="","","DS Node")))</f>
        <v/>
      </c>
      <c r="J635" s="13" t="str">
        <f>IF(I635="DS Node",'Characteristics&amp;Parameters'!$B$8,IF(I635&lt;='Characteristics&amp;Parameters'!$B$17,((1-'Characteristics&amp;Parameters'!$B$19)*ConcentrationsCalculations!F635+'Characteristics&amp;Parameters'!$B$19*ConcentrationsCalculations!F634-F635/86400*'Characteristics&amp;Parameters'!$B$11*'Characteristics&amp;Parameters'!$B$12),""))</f>
        <v/>
      </c>
    </row>
    <row r="636" spans="1:10" x14ac:dyDescent="0.5">
      <c r="A636" s="7" t="str">
        <f>IF(A635&lt;'Characteristics&amp;Parameters'!$B$17,ConcentrationsCalculations!A635+1,IF(A635="DS Node","",IF(A635="","","DS Node")))</f>
        <v/>
      </c>
      <c r="B636" s="8" t="str">
        <f>IF(A636&lt;='Characteristics&amp;Parameters'!$B$17,'Characteristics&amp;Parameters'!$B$7,IF(ConcentrationsCalculations!A636="DS Node",'Characteristics&amp;Parameters'!$B$8,""))</f>
        <v/>
      </c>
      <c r="C636" s="8"/>
      <c r="E636" s="7" t="s">
        <v>25</v>
      </c>
      <c r="F636" s="8" t="s">
        <v>25</v>
      </c>
      <c r="I636" s="7" t="str">
        <f>IF(I635&lt;'Characteristics&amp;Parameters'!$B$17,ConcentrationsCalculations!I635+1,IF(I635="DS Node","",IF(I635="","","DS Node")))</f>
        <v/>
      </c>
      <c r="J636" s="13" t="str">
        <f>IF(I636="DS Node",'Characteristics&amp;Parameters'!$B$8,IF(I636&lt;='Characteristics&amp;Parameters'!$B$17,((1-'Characteristics&amp;Parameters'!$B$19)*ConcentrationsCalculations!F636+'Characteristics&amp;Parameters'!$B$19*ConcentrationsCalculations!F635-F636/86400*'Characteristics&amp;Parameters'!$B$11*'Characteristics&amp;Parameters'!$B$12),""))</f>
        <v/>
      </c>
    </row>
    <row r="637" spans="1:10" x14ac:dyDescent="0.5">
      <c r="A637" s="7" t="str">
        <f>IF(A636&lt;'Characteristics&amp;Parameters'!$B$17,ConcentrationsCalculations!A636+1,IF(A636="DS Node","",IF(A636="","","DS Node")))</f>
        <v/>
      </c>
      <c r="B637" s="8" t="str">
        <f>IF(A637&lt;='Characteristics&amp;Parameters'!$B$17,'Characteristics&amp;Parameters'!$B$7,IF(ConcentrationsCalculations!A637="DS Node",'Characteristics&amp;Parameters'!$B$8,""))</f>
        <v/>
      </c>
      <c r="C637" s="8"/>
      <c r="E637" s="7" t="s">
        <v>25</v>
      </c>
      <c r="F637" s="8" t="s">
        <v>25</v>
      </c>
      <c r="I637" s="7" t="str">
        <f>IF(I636&lt;'Characteristics&amp;Parameters'!$B$17,ConcentrationsCalculations!I636+1,IF(I636="DS Node","",IF(I636="","","DS Node")))</f>
        <v/>
      </c>
      <c r="J637" s="13" t="str">
        <f>IF(I637="DS Node",'Characteristics&amp;Parameters'!$B$8,IF(I637&lt;='Characteristics&amp;Parameters'!$B$17,((1-'Characteristics&amp;Parameters'!$B$19)*ConcentrationsCalculations!F637+'Characteristics&amp;Parameters'!$B$19*ConcentrationsCalculations!F636-F637/86400*'Characteristics&amp;Parameters'!$B$11*'Characteristics&amp;Parameters'!$B$12),""))</f>
        <v/>
      </c>
    </row>
    <row r="638" spans="1:10" x14ac:dyDescent="0.5">
      <c r="A638" s="7" t="str">
        <f>IF(A637&lt;'Characteristics&amp;Parameters'!$B$17,ConcentrationsCalculations!A637+1,IF(A637="DS Node","",IF(A637="","","DS Node")))</f>
        <v/>
      </c>
      <c r="B638" s="8" t="str">
        <f>IF(A638&lt;='Characteristics&amp;Parameters'!$B$17,'Characteristics&amp;Parameters'!$B$7,IF(ConcentrationsCalculations!A638="DS Node",'Characteristics&amp;Parameters'!$B$8,""))</f>
        <v/>
      </c>
      <c r="C638" s="8"/>
      <c r="E638" s="7" t="s">
        <v>25</v>
      </c>
      <c r="F638" s="8" t="s">
        <v>25</v>
      </c>
      <c r="I638" s="7" t="str">
        <f>IF(I637&lt;'Characteristics&amp;Parameters'!$B$17,ConcentrationsCalculations!I637+1,IF(I637="DS Node","",IF(I637="","","DS Node")))</f>
        <v/>
      </c>
      <c r="J638" s="13" t="str">
        <f>IF(I638="DS Node",'Characteristics&amp;Parameters'!$B$8,IF(I638&lt;='Characteristics&amp;Parameters'!$B$17,((1-'Characteristics&amp;Parameters'!$B$19)*ConcentrationsCalculations!F638+'Characteristics&amp;Parameters'!$B$19*ConcentrationsCalculations!F637-F638/86400*'Characteristics&amp;Parameters'!$B$11*'Characteristics&amp;Parameters'!$B$12),""))</f>
        <v/>
      </c>
    </row>
    <row r="639" spans="1:10" x14ac:dyDescent="0.5">
      <c r="A639" s="7" t="str">
        <f>IF(A638&lt;'Characteristics&amp;Parameters'!$B$17,ConcentrationsCalculations!A638+1,IF(A638="DS Node","",IF(A638="","","DS Node")))</f>
        <v/>
      </c>
      <c r="B639" s="8" t="str">
        <f>IF(A639&lt;='Characteristics&amp;Parameters'!$B$17,'Characteristics&amp;Parameters'!$B$7,IF(ConcentrationsCalculations!A639="DS Node",'Characteristics&amp;Parameters'!$B$8,""))</f>
        <v/>
      </c>
      <c r="C639" s="8"/>
      <c r="E639" s="7" t="s">
        <v>25</v>
      </c>
      <c r="F639" s="8" t="s">
        <v>25</v>
      </c>
      <c r="I639" s="7" t="str">
        <f>IF(I638&lt;'Characteristics&amp;Parameters'!$B$17,ConcentrationsCalculations!I638+1,IF(I638="DS Node","",IF(I638="","","DS Node")))</f>
        <v/>
      </c>
      <c r="J639" s="13" t="str">
        <f>IF(I639="DS Node",'Characteristics&amp;Parameters'!$B$8,IF(I639&lt;='Characteristics&amp;Parameters'!$B$17,((1-'Characteristics&amp;Parameters'!$B$19)*ConcentrationsCalculations!F639+'Characteristics&amp;Parameters'!$B$19*ConcentrationsCalculations!F638-F639/86400*'Characteristics&amp;Parameters'!$B$11*'Characteristics&amp;Parameters'!$B$12),""))</f>
        <v/>
      </c>
    </row>
    <row r="640" spans="1:10" x14ac:dyDescent="0.5">
      <c r="A640" s="7" t="str">
        <f>IF(A639&lt;'Characteristics&amp;Parameters'!$B$17,ConcentrationsCalculations!A639+1,IF(A639="DS Node","",IF(A639="","","DS Node")))</f>
        <v/>
      </c>
      <c r="B640" s="8" t="str">
        <f>IF(A640&lt;='Characteristics&amp;Parameters'!$B$17,'Characteristics&amp;Parameters'!$B$7,IF(ConcentrationsCalculations!A640="DS Node",'Characteristics&amp;Parameters'!$B$8,""))</f>
        <v/>
      </c>
      <c r="C640" s="8"/>
      <c r="E640" s="7" t="s">
        <v>25</v>
      </c>
      <c r="F640" s="8" t="s">
        <v>25</v>
      </c>
      <c r="I640" s="7" t="str">
        <f>IF(I639&lt;'Characteristics&amp;Parameters'!$B$17,ConcentrationsCalculations!I639+1,IF(I639="DS Node","",IF(I639="","","DS Node")))</f>
        <v/>
      </c>
      <c r="J640" s="13" t="str">
        <f>IF(I640="DS Node",'Characteristics&amp;Parameters'!$B$8,IF(I640&lt;='Characteristics&amp;Parameters'!$B$17,((1-'Characteristics&amp;Parameters'!$B$19)*ConcentrationsCalculations!F640+'Characteristics&amp;Parameters'!$B$19*ConcentrationsCalculations!F639-F640/86400*'Characteristics&amp;Parameters'!$B$11*'Characteristics&amp;Parameters'!$B$12),""))</f>
        <v/>
      </c>
    </row>
    <row r="641" spans="1:10" x14ac:dyDescent="0.5">
      <c r="A641" s="7" t="str">
        <f>IF(A640&lt;'Characteristics&amp;Parameters'!$B$17,ConcentrationsCalculations!A640+1,IF(A640="DS Node","",IF(A640="","","DS Node")))</f>
        <v/>
      </c>
      <c r="B641" s="8" t="str">
        <f>IF(A641&lt;='Characteristics&amp;Parameters'!$B$17,'Characteristics&amp;Parameters'!$B$7,IF(ConcentrationsCalculations!A641="DS Node",'Characteristics&amp;Parameters'!$B$8,""))</f>
        <v/>
      </c>
      <c r="C641" s="8"/>
      <c r="E641" s="7" t="s">
        <v>25</v>
      </c>
      <c r="F641" s="8" t="s">
        <v>25</v>
      </c>
      <c r="I641" s="7" t="str">
        <f>IF(I640&lt;'Characteristics&amp;Parameters'!$B$17,ConcentrationsCalculations!I640+1,IF(I640="DS Node","",IF(I640="","","DS Node")))</f>
        <v/>
      </c>
      <c r="J641" s="13" t="str">
        <f>IF(I641="DS Node",'Characteristics&amp;Parameters'!$B$8,IF(I641&lt;='Characteristics&amp;Parameters'!$B$17,((1-'Characteristics&amp;Parameters'!$B$19)*ConcentrationsCalculations!F641+'Characteristics&amp;Parameters'!$B$19*ConcentrationsCalculations!F640-F641/86400*'Characteristics&amp;Parameters'!$B$11*'Characteristics&amp;Parameters'!$B$12),""))</f>
        <v/>
      </c>
    </row>
    <row r="642" spans="1:10" x14ac:dyDescent="0.5">
      <c r="A642" s="7" t="str">
        <f>IF(A641&lt;'Characteristics&amp;Parameters'!$B$17,ConcentrationsCalculations!A641+1,IF(A641="DS Node","",IF(A641="","","DS Node")))</f>
        <v/>
      </c>
      <c r="B642" s="8" t="str">
        <f>IF(A642&lt;='Characteristics&amp;Parameters'!$B$17,'Characteristics&amp;Parameters'!$B$7,IF(ConcentrationsCalculations!A642="DS Node",'Characteristics&amp;Parameters'!$B$8,""))</f>
        <v/>
      </c>
      <c r="C642" s="8"/>
      <c r="E642" s="7" t="s">
        <v>25</v>
      </c>
      <c r="F642" s="8" t="s">
        <v>25</v>
      </c>
      <c r="I642" s="7" t="str">
        <f>IF(I641&lt;'Characteristics&amp;Parameters'!$B$17,ConcentrationsCalculations!I641+1,IF(I641="DS Node","",IF(I641="","","DS Node")))</f>
        <v/>
      </c>
      <c r="J642" s="13" t="str">
        <f>IF(I642="DS Node",'Characteristics&amp;Parameters'!$B$8,IF(I642&lt;='Characteristics&amp;Parameters'!$B$17,((1-'Characteristics&amp;Parameters'!$B$19)*ConcentrationsCalculations!F642+'Characteristics&amp;Parameters'!$B$19*ConcentrationsCalculations!F641-F642/86400*'Characteristics&amp;Parameters'!$B$11*'Characteristics&amp;Parameters'!$B$12),""))</f>
        <v/>
      </c>
    </row>
    <row r="643" spans="1:10" x14ac:dyDescent="0.5">
      <c r="A643" s="7" t="str">
        <f>IF(A642&lt;'Characteristics&amp;Parameters'!$B$17,ConcentrationsCalculations!A642+1,IF(A642="DS Node","",IF(A642="","","DS Node")))</f>
        <v/>
      </c>
      <c r="B643" s="8" t="str">
        <f>IF(A643&lt;='Characteristics&amp;Parameters'!$B$17,'Characteristics&amp;Parameters'!$B$7,IF(ConcentrationsCalculations!A643="DS Node",'Characteristics&amp;Parameters'!$B$8,""))</f>
        <v/>
      </c>
      <c r="C643" s="8"/>
      <c r="E643" s="7" t="s">
        <v>25</v>
      </c>
      <c r="F643" s="8" t="s">
        <v>25</v>
      </c>
      <c r="I643" s="7" t="str">
        <f>IF(I642&lt;'Characteristics&amp;Parameters'!$B$17,ConcentrationsCalculations!I642+1,IF(I642="DS Node","",IF(I642="","","DS Node")))</f>
        <v/>
      </c>
      <c r="J643" s="13" t="str">
        <f>IF(I643="DS Node",'Characteristics&amp;Parameters'!$B$8,IF(I643&lt;='Characteristics&amp;Parameters'!$B$17,((1-'Characteristics&amp;Parameters'!$B$19)*ConcentrationsCalculations!F643+'Characteristics&amp;Parameters'!$B$19*ConcentrationsCalculations!F642-F643/86400*'Characteristics&amp;Parameters'!$B$11*'Characteristics&amp;Parameters'!$B$12),""))</f>
        <v/>
      </c>
    </row>
    <row r="644" spans="1:10" x14ac:dyDescent="0.5">
      <c r="A644" s="7" t="str">
        <f>IF(A643&lt;'Characteristics&amp;Parameters'!$B$17,ConcentrationsCalculations!A643+1,IF(A643="DS Node","",IF(A643="","","DS Node")))</f>
        <v/>
      </c>
      <c r="B644" s="8" t="str">
        <f>IF(A644&lt;='Characteristics&amp;Parameters'!$B$17,'Characteristics&amp;Parameters'!$B$7,IF(ConcentrationsCalculations!A644="DS Node",'Characteristics&amp;Parameters'!$B$8,""))</f>
        <v/>
      </c>
      <c r="C644" s="8"/>
      <c r="E644" s="7" t="s">
        <v>25</v>
      </c>
      <c r="F644" s="8" t="s">
        <v>25</v>
      </c>
      <c r="I644" s="7" t="str">
        <f>IF(I643&lt;'Characteristics&amp;Parameters'!$B$17,ConcentrationsCalculations!I643+1,IF(I643="DS Node","",IF(I643="","","DS Node")))</f>
        <v/>
      </c>
      <c r="J644" s="13" t="str">
        <f>IF(I644="DS Node",'Characteristics&amp;Parameters'!$B$8,IF(I644&lt;='Characteristics&amp;Parameters'!$B$17,((1-'Characteristics&amp;Parameters'!$B$19)*ConcentrationsCalculations!F644+'Characteristics&amp;Parameters'!$B$19*ConcentrationsCalculations!F643-F644/86400*'Characteristics&amp;Parameters'!$B$11*'Characteristics&amp;Parameters'!$B$12),""))</f>
        <v/>
      </c>
    </row>
    <row r="645" spans="1:10" x14ac:dyDescent="0.5">
      <c r="A645" s="7" t="str">
        <f>IF(A644&lt;'Characteristics&amp;Parameters'!$B$17,ConcentrationsCalculations!A644+1,IF(A644="DS Node","",IF(A644="","","DS Node")))</f>
        <v/>
      </c>
      <c r="B645" s="8" t="str">
        <f>IF(A645&lt;='Characteristics&amp;Parameters'!$B$17,'Characteristics&amp;Parameters'!$B$7,IF(ConcentrationsCalculations!A645="DS Node",'Characteristics&amp;Parameters'!$B$8,""))</f>
        <v/>
      </c>
      <c r="C645" s="8"/>
      <c r="E645" s="7" t="s">
        <v>25</v>
      </c>
      <c r="F645" s="8" t="s">
        <v>25</v>
      </c>
      <c r="I645" s="7" t="str">
        <f>IF(I644&lt;'Characteristics&amp;Parameters'!$B$17,ConcentrationsCalculations!I644+1,IF(I644="DS Node","",IF(I644="","","DS Node")))</f>
        <v/>
      </c>
      <c r="J645" s="13" t="str">
        <f>IF(I645="DS Node",'Characteristics&amp;Parameters'!$B$8,IF(I645&lt;='Characteristics&amp;Parameters'!$B$17,((1-'Characteristics&amp;Parameters'!$B$19)*ConcentrationsCalculations!F645+'Characteristics&amp;Parameters'!$B$19*ConcentrationsCalculations!F644-F645/86400*'Characteristics&amp;Parameters'!$B$11*'Characteristics&amp;Parameters'!$B$12),""))</f>
        <v/>
      </c>
    </row>
    <row r="646" spans="1:10" x14ac:dyDescent="0.5">
      <c r="A646" s="7" t="str">
        <f>IF(A645&lt;'Characteristics&amp;Parameters'!$B$17,ConcentrationsCalculations!A645+1,IF(A645="DS Node","",IF(A645="","","DS Node")))</f>
        <v/>
      </c>
      <c r="B646" s="8" t="str">
        <f>IF(A646&lt;='Characteristics&amp;Parameters'!$B$17,'Characteristics&amp;Parameters'!$B$7,IF(ConcentrationsCalculations!A646="DS Node",'Characteristics&amp;Parameters'!$B$8,""))</f>
        <v/>
      </c>
      <c r="C646" s="8"/>
      <c r="E646" s="7" t="s">
        <v>25</v>
      </c>
      <c r="F646" s="8" t="s">
        <v>25</v>
      </c>
      <c r="I646" s="7" t="str">
        <f>IF(I645&lt;'Characteristics&amp;Parameters'!$B$17,ConcentrationsCalculations!I645+1,IF(I645="DS Node","",IF(I645="","","DS Node")))</f>
        <v/>
      </c>
      <c r="J646" s="13" t="str">
        <f>IF(I646="DS Node",'Characteristics&amp;Parameters'!$B$8,IF(I646&lt;='Characteristics&amp;Parameters'!$B$17,((1-'Characteristics&amp;Parameters'!$B$19)*ConcentrationsCalculations!F646+'Characteristics&amp;Parameters'!$B$19*ConcentrationsCalculations!F645-F646/86400*'Characteristics&amp;Parameters'!$B$11*'Characteristics&amp;Parameters'!$B$12),""))</f>
        <v/>
      </c>
    </row>
    <row r="647" spans="1:10" x14ac:dyDescent="0.5">
      <c r="A647" s="7" t="str">
        <f>IF(A646&lt;'Characteristics&amp;Parameters'!$B$17,ConcentrationsCalculations!A646+1,IF(A646="DS Node","",IF(A646="","","DS Node")))</f>
        <v/>
      </c>
      <c r="B647" s="8" t="str">
        <f>IF(A647&lt;='Characteristics&amp;Parameters'!$B$17,'Characteristics&amp;Parameters'!$B$7,IF(ConcentrationsCalculations!A647="DS Node",'Characteristics&amp;Parameters'!$B$8,""))</f>
        <v/>
      </c>
      <c r="C647" s="8"/>
      <c r="E647" s="7" t="s">
        <v>25</v>
      </c>
      <c r="F647" s="8" t="s">
        <v>25</v>
      </c>
      <c r="I647" s="7" t="str">
        <f>IF(I646&lt;'Characteristics&amp;Parameters'!$B$17,ConcentrationsCalculations!I646+1,IF(I646="DS Node","",IF(I646="","","DS Node")))</f>
        <v/>
      </c>
      <c r="J647" s="13" t="str">
        <f>IF(I647="DS Node",'Characteristics&amp;Parameters'!$B$8,IF(I647&lt;='Characteristics&amp;Parameters'!$B$17,((1-'Characteristics&amp;Parameters'!$B$19)*ConcentrationsCalculations!F647+'Characteristics&amp;Parameters'!$B$19*ConcentrationsCalculations!F646-F647/86400*'Characteristics&amp;Parameters'!$B$11*'Characteristics&amp;Parameters'!$B$12),""))</f>
        <v/>
      </c>
    </row>
    <row r="648" spans="1:10" x14ac:dyDescent="0.5">
      <c r="A648" s="7" t="str">
        <f>IF(A647&lt;'Characteristics&amp;Parameters'!$B$17,ConcentrationsCalculations!A647+1,IF(A647="DS Node","",IF(A647="","","DS Node")))</f>
        <v/>
      </c>
      <c r="B648" s="8" t="str">
        <f>IF(A648&lt;='Characteristics&amp;Parameters'!$B$17,'Characteristics&amp;Parameters'!$B$7,IF(ConcentrationsCalculations!A648="DS Node",'Characteristics&amp;Parameters'!$B$8,""))</f>
        <v/>
      </c>
      <c r="C648" s="8"/>
      <c r="E648" s="7" t="s">
        <v>25</v>
      </c>
      <c r="F648" s="8" t="s">
        <v>25</v>
      </c>
      <c r="I648" s="7" t="str">
        <f>IF(I647&lt;'Characteristics&amp;Parameters'!$B$17,ConcentrationsCalculations!I647+1,IF(I647="DS Node","",IF(I647="","","DS Node")))</f>
        <v/>
      </c>
      <c r="J648" s="13" t="str">
        <f>IF(I648="DS Node",'Characteristics&amp;Parameters'!$B$8,IF(I648&lt;='Characteristics&amp;Parameters'!$B$17,((1-'Characteristics&amp;Parameters'!$B$19)*ConcentrationsCalculations!F648+'Characteristics&amp;Parameters'!$B$19*ConcentrationsCalculations!F647-F648/86400*'Characteristics&amp;Parameters'!$B$11*'Characteristics&amp;Parameters'!$B$12),""))</f>
        <v/>
      </c>
    </row>
    <row r="649" spans="1:10" x14ac:dyDescent="0.5">
      <c r="A649" s="7" t="str">
        <f>IF(A648&lt;'Characteristics&amp;Parameters'!$B$17,ConcentrationsCalculations!A648+1,IF(A648="DS Node","",IF(A648="","","DS Node")))</f>
        <v/>
      </c>
      <c r="B649" s="8" t="str">
        <f>IF(A649&lt;='Characteristics&amp;Parameters'!$B$17,'Characteristics&amp;Parameters'!$B$7,IF(ConcentrationsCalculations!A649="DS Node",'Characteristics&amp;Parameters'!$B$8,""))</f>
        <v/>
      </c>
      <c r="C649" s="8"/>
      <c r="E649" s="7" t="s">
        <v>25</v>
      </c>
      <c r="F649" s="8" t="s">
        <v>25</v>
      </c>
      <c r="I649" s="7" t="str">
        <f>IF(I648&lt;'Characteristics&amp;Parameters'!$B$17,ConcentrationsCalculations!I648+1,IF(I648="DS Node","",IF(I648="","","DS Node")))</f>
        <v/>
      </c>
      <c r="J649" s="13" t="str">
        <f>IF(I649="DS Node",'Characteristics&amp;Parameters'!$B$8,IF(I649&lt;='Characteristics&amp;Parameters'!$B$17,((1-'Characteristics&amp;Parameters'!$B$19)*ConcentrationsCalculations!F649+'Characteristics&amp;Parameters'!$B$19*ConcentrationsCalculations!F648-F649/86400*'Characteristics&amp;Parameters'!$B$11*'Characteristics&amp;Parameters'!$B$12),""))</f>
        <v/>
      </c>
    </row>
    <row r="650" spans="1:10" x14ac:dyDescent="0.5">
      <c r="A650" s="7" t="str">
        <f>IF(A649&lt;'Characteristics&amp;Parameters'!$B$17,ConcentrationsCalculations!A649+1,IF(A649="DS Node","",IF(A649="","","DS Node")))</f>
        <v/>
      </c>
      <c r="B650" s="8" t="str">
        <f>IF(A650&lt;='Characteristics&amp;Parameters'!$B$17,'Characteristics&amp;Parameters'!$B$7,IF(ConcentrationsCalculations!A650="DS Node",'Characteristics&amp;Parameters'!$B$8,""))</f>
        <v/>
      </c>
      <c r="C650" s="8"/>
      <c r="E650" s="7" t="s">
        <v>25</v>
      </c>
      <c r="F650" s="8" t="s">
        <v>25</v>
      </c>
      <c r="I650" s="7" t="str">
        <f>IF(I649&lt;'Characteristics&amp;Parameters'!$B$17,ConcentrationsCalculations!I649+1,IF(I649="DS Node","",IF(I649="","","DS Node")))</f>
        <v/>
      </c>
      <c r="J650" s="13" t="str">
        <f>IF(I650="DS Node",'Characteristics&amp;Parameters'!$B$8,IF(I650&lt;='Characteristics&amp;Parameters'!$B$17,((1-'Characteristics&amp;Parameters'!$B$19)*ConcentrationsCalculations!F650+'Characteristics&amp;Parameters'!$B$19*ConcentrationsCalculations!F649-F650/86400*'Characteristics&amp;Parameters'!$B$11*'Characteristics&amp;Parameters'!$B$12),""))</f>
        <v/>
      </c>
    </row>
    <row r="651" spans="1:10" x14ac:dyDescent="0.5">
      <c r="A651" s="7" t="str">
        <f>IF(A650&lt;'Characteristics&amp;Parameters'!$B$17,ConcentrationsCalculations!A650+1,IF(A650="DS Node","",IF(A650="","","DS Node")))</f>
        <v/>
      </c>
      <c r="B651" s="8" t="str">
        <f>IF(A651&lt;='Characteristics&amp;Parameters'!$B$17,'Characteristics&amp;Parameters'!$B$7,IF(ConcentrationsCalculations!A651="DS Node",'Characteristics&amp;Parameters'!$B$8,""))</f>
        <v/>
      </c>
      <c r="C651" s="8"/>
      <c r="E651" s="7" t="s">
        <v>25</v>
      </c>
      <c r="F651" s="8" t="s">
        <v>25</v>
      </c>
      <c r="I651" s="7" t="str">
        <f>IF(I650&lt;'Characteristics&amp;Parameters'!$B$17,ConcentrationsCalculations!I650+1,IF(I650="DS Node","",IF(I650="","","DS Node")))</f>
        <v/>
      </c>
      <c r="J651" s="13" t="str">
        <f>IF(I651="DS Node",'Characteristics&amp;Parameters'!$B$8,IF(I651&lt;='Characteristics&amp;Parameters'!$B$17,((1-'Characteristics&amp;Parameters'!$B$19)*ConcentrationsCalculations!F651+'Characteristics&amp;Parameters'!$B$19*ConcentrationsCalculations!F650-F651/86400*'Characteristics&amp;Parameters'!$B$11*'Characteristics&amp;Parameters'!$B$12),""))</f>
        <v/>
      </c>
    </row>
    <row r="652" spans="1:10" x14ac:dyDescent="0.5">
      <c r="A652" s="7" t="str">
        <f>IF(A651&lt;'Characteristics&amp;Parameters'!$B$17,ConcentrationsCalculations!A651+1,IF(A651="DS Node","",IF(A651="","","DS Node")))</f>
        <v/>
      </c>
      <c r="B652" s="8" t="str">
        <f>IF(A652&lt;='Characteristics&amp;Parameters'!$B$17,'Characteristics&amp;Parameters'!$B$7,IF(ConcentrationsCalculations!A652="DS Node",'Characteristics&amp;Parameters'!$B$8,""))</f>
        <v/>
      </c>
      <c r="C652" s="8"/>
      <c r="E652" s="7" t="s">
        <v>25</v>
      </c>
      <c r="F652" s="8" t="s">
        <v>25</v>
      </c>
      <c r="I652" s="7" t="str">
        <f>IF(I651&lt;'Characteristics&amp;Parameters'!$B$17,ConcentrationsCalculations!I651+1,IF(I651="DS Node","",IF(I651="","","DS Node")))</f>
        <v/>
      </c>
      <c r="J652" s="13" t="str">
        <f>IF(I652="DS Node",'Characteristics&amp;Parameters'!$B$8,IF(I652&lt;='Characteristics&amp;Parameters'!$B$17,((1-'Characteristics&amp;Parameters'!$B$19)*ConcentrationsCalculations!F652+'Characteristics&amp;Parameters'!$B$19*ConcentrationsCalculations!F651-F652/86400*'Characteristics&amp;Parameters'!$B$11*'Characteristics&amp;Parameters'!$B$12),""))</f>
        <v/>
      </c>
    </row>
    <row r="653" spans="1:10" x14ac:dyDescent="0.5">
      <c r="A653" s="7" t="str">
        <f>IF(A652&lt;'Characteristics&amp;Parameters'!$B$17,ConcentrationsCalculations!A652+1,IF(A652="DS Node","",IF(A652="","","DS Node")))</f>
        <v/>
      </c>
      <c r="B653" s="8" t="str">
        <f>IF(A653&lt;='Characteristics&amp;Parameters'!$B$17,'Characteristics&amp;Parameters'!$B$7,IF(ConcentrationsCalculations!A653="DS Node",'Characteristics&amp;Parameters'!$B$8,""))</f>
        <v/>
      </c>
      <c r="C653" s="8"/>
      <c r="E653" s="7" t="s">
        <v>25</v>
      </c>
      <c r="F653" s="8" t="s">
        <v>25</v>
      </c>
      <c r="I653" s="7" t="str">
        <f>IF(I652&lt;'Characteristics&amp;Parameters'!$B$17,ConcentrationsCalculations!I652+1,IF(I652="DS Node","",IF(I652="","","DS Node")))</f>
        <v/>
      </c>
      <c r="J653" s="13" t="str">
        <f>IF(I653="DS Node",'Characteristics&amp;Parameters'!$B$8,IF(I653&lt;='Characteristics&amp;Parameters'!$B$17,((1-'Characteristics&amp;Parameters'!$B$19)*ConcentrationsCalculations!F653+'Characteristics&amp;Parameters'!$B$19*ConcentrationsCalculations!F652-F653/86400*'Characteristics&amp;Parameters'!$B$11*'Characteristics&amp;Parameters'!$B$12),""))</f>
        <v/>
      </c>
    </row>
    <row r="654" spans="1:10" x14ac:dyDescent="0.5">
      <c r="A654" s="7" t="str">
        <f>IF(A653&lt;'Characteristics&amp;Parameters'!$B$17,ConcentrationsCalculations!A653+1,IF(A653="DS Node","",IF(A653="","","DS Node")))</f>
        <v/>
      </c>
      <c r="B654" s="8" t="str">
        <f>IF(A654&lt;='Characteristics&amp;Parameters'!$B$17,'Characteristics&amp;Parameters'!$B$7,IF(ConcentrationsCalculations!A654="DS Node",'Characteristics&amp;Parameters'!$B$8,""))</f>
        <v/>
      </c>
      <c r="C654" s="8"/>
      <c r="E654" s="7" t="s">
        <v>25</v>
      </c>
      <c r="F654" s="8" t="s">
        <v>25</v>
      </c>
      <c r="I654" s="7" t="str">
        <f>IF(I653&lt;'Characteristics&amp;Parameters'!$B$17,ConcentrationsCalculations!I653+1,IF(I653="DS Node","",IF(I653="","","DS Node")))</f>
        <v/>
      </c>
      <c r="J654" s="13" t="str">
        <f>IF(I654="DS Node",'Characteristics&amp;Parameters'!$B$8,IF(I654&lt;='Characteristics&amp;Parameters'!$B$17,((1-'Characteristics&amp;Parameters'!$B$19)*ConcentrationsCalculations!F654+'Characteristics&amp;Parameters'!$B$19*ConcentrationsCalculations!F653-F654/86400*'Characteristics&amp;Parameters'!$B$11*'Characteristics&amp;Parameters'!$B$12),""))</f>
        <v/>
      </c>
    </row>
    <row r="655" spans="1:10" x14ac:dyDescent="0.5">
      <c r="A655" s="7" t="str">
        <f>IF(A654&lt;'Characteristics&amp;Parameters'!$B$17,ConcentrationsCalculations!A654+1,IF(A654="DS Node","",IF(A654="","","DS Node")))</f>
        <v/>
      </c>
      <c r="B655" s="8" t="str">
        <f>IF(A655&lt;='Characteristics&amp;Parameters'!$B$17,'Characteristics&amp;Parameters'!$B$7,IF(ConcentrationsCalculations!A655="DS Node",'Characteristics&amp;Parameters'!$B$8,""))</f>
        <v/>
      </c>
      <c r="C655" s="8"/>
      <c r="E655" s="7" t="s">
        <v>25</v>
      </c>
      <c r="F655" s="8" t="s">
        <v>25</v>
      </c>
      <c r="I655" s="7" t="str">
        <f>IF(I654&lt;'Characteristics&amp;Parameters'!$B$17,ConcentrationsCalculations!I654+1,IF(I654="DS Node","",IF(I654="","","DS Node")))</f>
        <v/>
      </c>
      <c r="J655" s="13" t="str">
        <f>IF(I655="DS Node",'Characteristics&amp;Parameters'!$B$8,IF(I655&lt;='Characteristics&amp;Parameters'!$B$17,((1-'Characteristics&amp;Parameters'!$B$19)*ConcentrationsCalculations!F655+'Characteristics&amp;Parameters'!$B$19*ConcentrationsCalculations!F654-F655/86400*'Characteristics&amp;Parameters'!$B$11*'Characteristics&amp;Parameters'!$B$12),""))</f>
        <v/>
      </c>
    </row>
    <row r="656" spans="1:10" x14ac:dyDescent="0.5">
      <c r="A656" s="7" t="str">
        <f>IF(A655&lt;'Characteristics&amp;Parameters'!$B$17,ConcentrationsCalculations!A655+1,IF(A655="DS Node","",IF(A655="","","DS Node")))</f>
        <v/>
      </c>
      <c r="B656" s="8" t="str">
        <f>IF(A656&lt;='Characteristics&amp;Parameters'!$B$17,'Characteristics&amp;Parameters'!$B$7,IF(ConcentrationsCalculations!A656="DS Node",'Characteristics&amp;Parameters'!$B$8,""))</f>
        <v/>
      </c>
      <c r="C656" s="8"/>
      <c r="E656" s="7" t="s">
        <v>25</v>
      </c>
      <c r="F656" s="8" t="s">
        <v>25</v>
      </c>
      <c r="I656" s="7" t="str">
        <f>IF(I655&lt;'Characteristics&amp;Parameters'!$B$17,ConcentrationsCalculations!I655+1,IF(I655="DS Node","",IF(I655="","","DS Node")))</f>
        <v/>
      </c>
      <c r="J656" s="13" t="str">
        <f>IF(I656="DS Node",'Characteristics&amp;Parameters'!$B$8,IF(I656&lt;='Characteristics&amp;Parameters'!$B$17,((1-'Characteristics&amp;Parameters'!$B$19)*ConcentrationsCalculations!F656+'Characteristics&amp;Parameters'!$B$19*ConcentrationsCalculations!F655-F656/86400*'Characteristics&amp;Parameters'!$B$11*'Characteristics&amp;Parameters'!$B$12),""))</f>
        <v/>
      </c>
    </row>
    <row r="657" spans="1:10" x14ac:dyDescent="0.5">
      <c r="A657" s="7" t="str">
        <f>IF(A656&lt;'Characteristics&amp;Parameters'!$B$17,ConcentrationsCalculations!A656+1,IF(A656="DS Node","",IF(A656="","","DS Node")))</f>
        <v/>
      </c>
      <c r="B657" s="8" t="str">
        <f>IF(A657&lt;='Characteristics&amp;Parameters'!$B$17,'Characteristics&amp;Parameters'!$B$7,IF(ConcentrationsCalculations!A657="DS Node",'Characteristics&amp;Parameters'!$B$8,""))</f>
        <v/>
      </c>
      <c r="C657" s="8"/>
      <c r="E657" s="7" t="s">
        <v>25</v>
      </c>
      <c r="F657" s="8" t="s">
        <v>25</v>
      </c>
      <c r="I657" s="7" t="str">
        <f>IF(I656&lt;'Characteristics&amp;Parameters'!$B$17,ConcentrationsCalculations!I656+1,IF(I656="DS Node","",IF(I656="","","DS Node")))</f>
        <v/>
      </c>
      <c r="J657" s="13" t="str">
        <f>IF(I657="DS Node",'Characteristics&amp;Parameters'!$B$8,IF(I657&lt;='Characteristics&amp;Parameters'!$B$17,((1-'Characteristics&amp;Parameters'!$B$19)*ConcentrationsCalculations!F657+'Characteristics&amp;Parameters'!$B$19*ConcentrationsCalculations!F656-F657/86400*'Characteristics&amp;Parameters'!$B$11*'Characteristics&amp;Parameters'!$B$12),""))</f>
        <v/>
      </c>
    </row>
    <row r="658" spans="1:10" x14ac:dyDescent="0.5">
      <c r="A658" s="7" t="str">
        <f>IF(A657&lt;'Characteristics&amp;Parameters'!$B$17,ConcentrationsCalculations!A657+1,IF(A657="DS Node","",IF(A657="","","DS Node")))</f>
        <v/>
      </c>
      <c r="B658" s="8" t="str">
        <f>IF(A658&lt;='Characteristics&amp;Parameters'!$B$17,'Characteristics&amp;Parameters'!$B$7,IF(ConcentrationsCalculations!A658="DS Node",'Characteristics&amp;Parameters'!$B$8,""))</f>
        <v/>
      </c>
      <c r="C658" s="8"/>
      <c r="E658" s="7" t="s">
        <v>25</v>
      </c>
      <c r="F658" s="8" t="s">
        <v>25</v>
      </c>
      <c r="I658" s="7" t="str">
        <f>IF(I657&lt;'Characteristics&amp;Parameters'!$B$17,ConcentrationsCalculations!I657+1,IF(I657="DS Node","",IF(I657="","","DS Node")))</f>
        <v/>
      </c>
      <c r="J658" s="13" t="str">
        <f>IF(I658="DS Node",'Characteristics&amp;Parameters'!$B$8,IF(I658&lt;='Characteristics&amp;Parameters'!$B$17,((1-'Characteristics&amp;Parameters'!$B$19)*ConcentrationsCalculations!F658+'Characteristics&amp;Parameters'!$B$19*ConcentrationsCalculations!F657-F658/86400*'Characteristics&amp;Parameters'!$B$11*'Characteristics&amp;Parameters'!$B$12),""))</f>
        <v/>
      </c>
    </row>
    <row r="659" spans="1:10" x14ac:dyDescent="0.5">
      <c r="A659" s="7" t="str">
        <f>IF(A658&lt;'Characteristics&amp;Parameters'!$B$17,ConcentrationsCalculations!A658+1,IF(A658="DS Node","",IF(A658="","","DS Node")))</f>
        <v/>
      </c>
      <c r="B659" s="8" t="str">
        <f>IF(A659&lt;='Characteristics&amp;Parameters'!$B$17,'Characteristics&amp;Parameters'!$B$7,IF(ConcentrationsCalculations!A659="DS Node",'Characteristics&amp;Parameters'!$B$8,""))</f>
        <v/>
      </c>
      <c r="C659" s="8"/>
      <c r="E659" s="7" t="s">
        <v>25</v>
      </c>
      <c r="F659" s="8" t="s">
        <v>25</v>
      </c>
      <c r="I659" s="7" t="str">
        <f>IF(I658&lt;'Characteristics&amp;Parameters'!$B$17,ConcentrationsCalculations!I658+1,IF(I658="DS Node","",IF(I658="","","DS Node")))</f>
        <v/>
      </c>
      <c r="J659" s="13" t="str">
        <f>IF(I659="DS Node",'Characteristics&amp;Parameters'!$B$8,IF(I659&lt;='Characteristics&amp;Parameters'!$B$17,((1-'Characteristics&amp;Parameters'!$B$19)*ConcentrationsCalculations!F659+'Characteristics&amp;Parameters'!$B$19*ConcentrationsCalculations!F658-F659/86400*'Characteristics&amp;Parameters'!$B$11*'Characteristics&amp;Parameters'!$B$12),""))</f>
        <v/>
      </c>
    </row>
    <row r="660" spans="1:10" x14ac:dyDescent="0.5">
      <c r="A660" s="7" t="str">
        <f>IF(A659&lt;'Characteristics&amp;Parameters'!$B$17,ConcentrationsCalculations!A659+1,IF(A659="DS Node","",IF(A659="","","DS Node")))</f>
        <v/>
      </c>
      <c r="B660" s="8" t="str">
        <f>IF(A660&lt;='Characteristics&amp;Parameters'!$B$17,'Characteristics&amp;Parameters'!$B$7,IF(ConcentrationsCalculations!A660="DS Node",'Characteristics&amp;Parameters'!$B$8,""))</f>
        <v/>
      </c>
      <c r="C660" s="8"/>
      <c r="E660" s="7" t="s">
        <v>25</v>
      </c>
      <c r="F660" s="8" t="s">
        <v>25</v>
      </c>
      <c r="I660" s="7" t="str">
        <f>IF(I659&lt;'Characteristics&amp;Parameters'!$B$17,ConcentrationsCalculations!I659+1,IF(I659="DS Node","",IF(I659="","","DS Node")))</f>
        <v/>
      </c>
      <c r="J660" s="13" t="str">
        <f>IF(I660="DS Node",'Characteristics&amp;Parameters'!$B$8,IF(I660&lt;='Characteristics&amp;Parameters'!$B$17,((1-'Characteristics&amp;Parameters'!$B$19)*ConcentrationsCalculations!F660+'Characteristics&amp;Parameters'!$B$19*ConcentrationsCalculations!F659-F660/86400*'Characteristics&amp;Parameters'!$B$11*'Characteristics&amp;Parameters'!$B$12),""))</f>
        <v/>
      </c>
    </row>
    <row r="661" spans="1:10" x14ac:dyDescent="0.5">
      <c r="A661" s="7" t="str">
        <f>IF(A660&lt;'Characteristics&amp;Parameters'!$B$17,ConcentrationsCalculations!A660+1,IF(A660="DS Node","",IF(A660="","","DS Node")))</f>
        <v/>
      </c>
      <c r="B661" s="8" t="str">
        <f>IF(A661&lt;='Characteristics&amp;Parameters'!$B$17,'Characteristics&amp;Parameters'!$B$7,IF(ConcentrationsCalculations!A661="DS Node",'Characteristics&amp;Parameters'!$B$8,""))</f>
        <v/>
      </c>
      <c r="C661" s="8"/>
      <c r="E661" s="7" t="s">
        <v>25</v>
      </c>
      <c r="F661" s="8" t="s">
        <v>25</v>
      </c>
      <c r="I661" s="7" t="str">
        <f>IF(I660&lt;'Characteristics&amp;Parameters'!$B$17,ConcentrationsCalculations!I660+1,IF(I660="DS Node","",IF(I660="","","DS Node")))</f>
        <v/>
      </c>
      <c r="J661" s="13" t="str">
        <f>IF(I661="DS Node",'Characteristics&amp;Parameters'!$B$8,IF(I661&lt;='Characteristics&amp;Parameters'!$B$17,((1-'Characteristics&amp;Parameters'!$B$19)*ConcentrationsCalculations!F661+'Characteristics&amp;Parameters'!$B$19*ConcentrationsCalculations!F660-F661/86400*'Characteristics&amp;Parameters'!$B$11*'Characteristics&amp;Parameters'!$B$12),""))</f>
        <v/>
      </c>
    </row>
    <row r="662" spans="1:10" x14ac:dyDescent="0.5">
      <c r="A662" s="7" t="str">
        <f>IF(A661&lt;'Characteristics&amp;Parameters'!$B$17,ConcentrationsCalculations!A661+1,IF(A661="DS Node","",IF(A661="","","DS Node")))</f>
        <v/>
      </c>
      <c r="B662" s="8" t="str">
        <f>IF(A662&lt;='Characteristics&amp;Parameters'!$B$17,'Characteristics&amp;Parameters'!$B$7,IF(ConcentrationsCalculations!A662="DS Node",'Characteristics&amp;Parameters'!$B$8,""))</f>
        <v/>
      </c>
      <c r="C662" s="8"/>
      <c r="E662" s="7" t="s">
        <v>25</v>
      </c>
      <c r="F662" s="8" t="s">
        <v>25</v>
      </c>
      <c r="I662" s="7" t="str">
        <f>IF(I661&lt;'Characteristics&amp;Parameters'!$B$17,ConcentrationsCalculations!I661+1,IF(I661="DS Node","",IF(I661="","","DS Node")))</f>
        <v/>
      </c>
      <c r="J662" s="13" t="str">
        <f>IF(I662="DS Node",'Characteristics&amp;Parameters'!$B$8,IF(I662&lt;='Characteristics&amp;Parameters'!$B$17,((1-'Characteristics&amp;Parameters'!$B$19)*ConcentrationsCalculations!F662+'Characteristics&amp;Parameters'!$B$19*ConcentrationsCalculations!F661-F662/86400*'Characteristics&amp;Parameters'!$B$11*'Characteristics&amp;Parameters'!$B$12),""))</f>
        <v/>
      </c>
    </row>
    <row r="663" spans="1:10" x14ac:dyDescent="0.5">
      <c r="A663" s="7" t="str">
        <f>IF(A662&lt;'Characteristics&amp;Parameters'!$B$17,ConcentrationsCalculations!A662+1,IF(A662="DS Node","",IF(A662="","","DS Node")))</f>
        <v/>
      </c>
      <c r="B663" s="8" t="str">
        <f>IF(A663&lt;='Characteristics&amp;Parameters'!$B$17,'Characteristics&amp;Parameters'!$B$7,IF(ConcentrationsCalculations!A663="DS Node",'Characteristics&amp;Parameters'!$B$8,""))</f>
        <v/>
      </c>
      <c r="C663" s="8"/>
      <c r="E663" s="7" t="s">
        <v>25</v>
      </c>
      <c r="F663" s="8" t="s">
        <v>25</v>
      </c>
      <c r="I663" s="7" t="str">
        <f>IF(I662&lt;'Characteristics&amp;Parameters'!$B$17,ConcentrationsCalculations!I662+1,IF(I662="DS Node","",IF(I662="","","DS Node")))</f>
        <v/>
      </c>
      <c r="J663" s="13" t="str">
        <f>IF(I663="DS Node",'Characteristics&amp;Parameters'!$B$8,IF(I663&lt;='Characteristics&amp;Parameters'!$B$17,((1-'Characteristics&amp;Parameters'!$B$19)*ConcentrationsCalculations!F663+'Characteristics&amp;Parameters'!$B$19*ConcentrationsCalculations!F662-F663/86400*'Characteristics&amp;Parameters'!$B$11*'Characteristics&amp;Parameters'!$B$12),""))</f>
        <v/>
      </c>
    </row>
    <row r="664" spans="1:10" x14ac:dyDescent="0.5">
      <c r="A664" s="7" t="str">
        <f>IF(A663&lt;'Characteristics&amp;Parameters'!$B$17,ConcentrationsCalculations!A663+1,IF(A663="DS Node","",IF(A663="","","DS Node")))</f>
        <v/>
      </c>
      <c r="B664" s="8" t="str">
        <f>IF(A664&lt;='Characteristics&amp;Parameters'!$B$17,'Characteristics&amp;Parameters'!$B$7,IF(ConcentrationsCalculations!A664="DS Node",'Characteristics&amp;Parameters'!$B$8,""))</f>
        <v/>
      </c>
      <c r="C664" s="8"/>
      <c r="E664" s="7" t="s">
        <v>25</v>
      </c>
      <c r="F664" s="8" t="s">
        <v>25</v>
      </c>
      <c r="I664" s="7" t="str">
        <f>IF(I663&lt;'Characteristics&amp;Parameters'!$B$17,ConcentrationsCalculations!I663+1,IF(I663="DS Node","",IF(I663="","","DS Node")))</f>
        <v/>
      </c>
      <c r="J664" s="13" t="str">
        <f>IF(I664="DS Node",'Characteristics&amp;Parameters'!$B$8,IF(I664&lt;='Characteristics&amp;Parameters'!$B$17,((1-'Characteristics&amp;Parameters'!$B$19)*ConcentrationsCalculations!F664+'Characteristics&amp;Parameters'!$B$19*ConcentrationsCalculations!F663-F664/86400*'Characteristics&amp;Parameters'!$B$11*'Characteristics&amp;Parameters'!$B$12),""))</f>
        <v/>
      </c>
    </row>
    <row r="665" spans="1:10" x14ac:dyDescent="0.5">
      <c r="A665" s="7" t="str">
        <f>IF(A664&lt;'Characteristics&amp;Parameters'!$B$17,ConcentrationsCalculations!A664+1,IF(A664="DS Node","",IF(A664="","","DS Node")))</f>
        <v/>
      </c>
      <c r="B665" s="8" t="str">
        <f>IF(A665&lt;='Characteristics&amp;Parameters'!$B$17,'Characteristics&amp;Parameters'!$B$7,IF(ConcentrationsCalculations!A665="DS Node",'Characteristics&amp;Parameters'!$B$8,""))</f>
        <v/>
      </c>
      <c r="C665" s="8"/>
      <c r="E665" s="7" t="s">
        <v>25</v>
      </c>
      <c r="F665" s="8" t="s">
        <v>25</v>
      </c>
      <c r="I665" s="7" t="str">
        <f>IF(I664&lt;'Characteristics&amp;Parameters'!$B$17,ConcentrationsCalculations!I664+1,IF(I664="DS Node","",IF(I664="","","DS Node")))</f>
        <v/>
      </c>
      <c r="J665" s="13" t="str">
        <f>IF(I665="DS Node",'Characteristics&amp;Parameters'!$B$8,IF(I665&lt;='Characteristics&amp;Parameters'!$B$17,((1-'Characteristics&amp;Parameters'!$B$19)*ConcentrationsCalculations!F665+'Characteristics&amp;Parameters'!$B$19*ConcentrationsCalculations!F664-F665/86400*'Characteristics&amp;Parameters'!$B$11*'Characteristics&amp;Parameters'!$B$12),""))</f>
        <v/>
      </c>
    </row>
    <row r="666" spans="1:10" x14ac:dyDescent="0.5">
      <c r="A666" s="7" t="str">
        <f>IF(A665&lt;'Characteristics&amp;Parameters'!$B$17,ConcentrationsCalculations!A665+1,IF(A665="DS Node","",IF(A665="","","DS Node")))</f>
        <v/>
      </c>
      <c r="B666" s="8" t="str">
        <f>IF(A666&lt;='Characteristics&amp;Parameters'!$B$17,'Characteristics&amp;Parameters'!$B$7,IF(ConcentrationsCalculations!A666="DS Node",'Characteristics&amp;Parameters'!$B$8,""))</f>
        <v/>
      </c>
      <c r="C666" s="8"/>
      <c r="E666" s="7" t="s">
        <v>25</v>
      </c>
      <c r="F666" s="8" t="s">
        <v>25</v>
      </c>
      <c r="I666" s="7" t="str">
        <f>IF(I665&lt;'Characteristics&amp;Parameters'!$B$17,ConcentrationsCalculations!I665+1,IF(I665="DS Node","",IF(I665="","","DS Node")))</f>
        <v/>
      </c>
      <c r="J666" s="13" t="str">
        <f>IF(I666="DS Node",'Characteristics&amp;Parameters'!$B$8,IF(I666&lt;='Characteristics&amp;Parameters'!$B$17,((1-'Characteristics&amp;Parameters'!$B$19)*ConcentrationsCalculations!F666+'Characteristics&amp;Parameters'!$B$19*ConcentrationsCalculations!F665-F666/86400*'Characteristics&amp;Parameters'!$B$11*'Characteristics&amp;Parameters'!$B$12),""))</f>
        <v/>
      </c>
    </row>
    <row r="667" spans="1:10" x14ac:dyDescent="0.5">
      <c r="A667" s="7" t="str">
        <f>IF(A666&lt;'Characteristics&amp;Parameters'!$B$17,ConcentrationsCalculations!A666+1,IF(A666="DS Node","",IF(A666="","","DS Node")))</f>
        <v/>
      </c>
      <c r="B667" s="8" t="str">
        <f>IF(A667&lt;='Characteristics&amp;Parameters'!$B$17,'Characteristics&amp;Parameters'!$B$7,IF(ConcentrationsCalculations!A667="DS Node",'Characteristics&amp;Parameters'!$B$8,""))</f>
        <v/>
      </c>
      <c r="C667" s="8"/>
      <c r="E667" s="7" t="s">
        <v>25</v>
      </c>
      <c r="F667" s="8" t="s">
        <v>25</v>
      </c>
      <c r="I667" s="7" t="str">
        <f>IF(I666&lt;'Characteristics&amp;Parameters'!$B$17,ConcentrationsCalculations!I666+1,IF(I666="DS Node","",IF(I666="","","DS Node")))</f>
        <v/>
      </c>
      <c r="J667" s="13" t="str">
        <f>IF(I667="DS Node",'Characteristics&amp;Parameters'!$B$8,IF(I667&lt;='Characteristics&amp;Parameters'!$B$17,((1-'Characteristics&amp;Parameters'!$B$19)*ConcentrationsCalculations!F667+'Characteristics&amp;Parameters'!$B$19*ConcentrationsCalculations!F666-F667/86400*'Characteristics&amp;Parameters'!$B$11*'Characteristics&amp;Parameters'!$B$12),""))</f>
        <v/>
      </c>
    </row>
    <row r="668" spans="1:10" x14ac:dyDescent="0.5">
      <c r="A668" s="7" t="str">
        <f>IF(A667&lt;'Characteristics&amp;Parameters'!$B$17,ConcentrationsCalculations!A667+1,IF(A667="DS Node","",IF(A667="","","DS Node")))</f>
        <v/>
      </c>
      <c r="B668" s="8" t="str">
        <f>IF(A668&lt;='Characteristics&amp;Parameters'!$B$17,'Characteristics&amp;Parameters'!$B$7,IF(ConcentrationsCalculations!A668="DS Node",'Characteristics&amp;Parameters'!$B$8,""))</f>
        <v/>
      </c>
      <c r="C668" s="8"/>
      <c r="E668" s="7" t="s">
        <v>25</v>
      </c>
      <c r="F668" s="8" t="s">
        <v>25</v>
      </c>
      <c r="I668" s="7" t="str">
        <f>IF(I667&lt;'Characteristics&amp;Parameters'!$B$17,ConcentrationsCalculations!I667+1,IF(I667="DS Node","",IF(I667="","","DS Node")))</f>
        <v/>
      </c>
      <c r="J668" s="13" t="str">
        <f>IF(I668="DS Node",'Characteristics&amp;Parameters'!$B$8,IF(I668&lt;='Characteristics&amp;Parameters'!$B$17,((1-'Characteristics&amp;Parameters'!$B$19)*ConcentrationsCalculations!F668+'Characteristics&amp;Parameters'!$B$19*ConcentrationsCalculations!F667-F668/86400*'Characteristics&amp;Parameters'!$B$11*'Characteristics&amp;Parameters'!$B$12),""))</f>
        <v/>
      </c>
    </row>
    <row r="669" spans="1:10" x14ac:dyDescent="0.5">
      <c r="A669" s="7" t="str">
        <f>IF(A668&lt;'Characteristics&amp;Parameters'!$B$17,ConcentrationsCalculations!A668+1,IF(A668="DS Node","",IF(A668="","","DS Node")))</f>
        <v/>
      </c>
      <c r="B669" s="8" t="str">
        <f>IF(A669&lt;='Characteristics&amp;Parameters'!$B$17,'Characteristics&amp;Parameters'!$B$7,IF(ConcentrationsCalculations!A669="DS Node",'Characteristics&amp;Parameters'!$B$8,""))</f>
        <v/>
      </c>
      <c r="C669" s="8"/>
      <c r="E669" s="7" t="s">
        <v>25</v>
      </c>
      <c r="F669" s="8" t="s">
        <v>25</v>
      </c>
      <c r="I669" s="7" t="str">
        <f>IF(I668&lt;'Characteristics&amp;Parameters'!$B$17,ConcentrationsCalculations!I668+1,IF(I668="DS Node","",IF(I668="","","DS Node")))</f>
        <v/>
      </c>
      <c r="J669" s="13" t="str">
        <f>IF(I669="DS Node",'Characteristics&amp;Parameters'!$B$8,IF(I669&lt;='Characteristics&amp;Parameters'!$B$17,((1-'Characteristics&amp;Parameters'!$B$19)*ConcentrationsCalculations!F669+'Characteristics&amp;Parameters'!$B$19*ConcentrationsCalculations!F668-F669/86400*'Characteristics&amp;Parameters'!$B$11*'Characteristics&amp;Parameters'!$B$12),""))</f>
        <v/>
      </c>
    </row>
    <row r="670" spans="1:10" x14ac:dyDescent="0.5">
      <c r="A670" s="7" t="str">
        <f>IF(A669&lt;'Characteristics&amp;Parameters'!$B$17,ConcentrationsCalculations!A669+1,IF(A669="DS Node","",IF(A669="","","DS Node")))</f>
        <v/>
      </c>
      <c r="B670" s="8" t="str">
        <f>IF(A670&lt;='Characteristics&amp;Parameters'!$B$17,'Characteristics&amp;Parameters'!$B$7,IF(ConcentrationsCalculations!A670="DS Node",'Characteristics&amp;Parameters'!$B$8,""))</f>
        <v/>
      </c>
      <c r="C670" s="8"/>
      <c r="E670" s="7" t="s">
        <v>25</v>
      </c>
      <c r="F670" s="8" t="s">
        <v>25</v>
      </c>
      <c r="I670" s="7" t="str">
        <f>IF(I669&lt;'Characteristics&amp;Parameters'!$B$17,ConcentrationsCalculations!I669+1,IF(I669="DS Node","",IF(I669="","","DS Node")))</f>
        <v/>
      </c>
      <c r="J670" s="13" t="str">
        <f>IF(I670="DS Node",'Characteristics&amp;Parameters'!$B$8,IF(I670&lt;='Characteristics&amp;Parameters'!$B$17,((1-'Characteristics&amp;Parameters'!$B$19)*ConcentrationsCalculations!F670+'Characteristics&amp;Parameters'!$B$19*ConcentrationsCalculations!F669-F670/86400*'Characteristics&amp;Parameters'!$B$11*'Characteristics&amp;Parameters'!$B$12),""))</f>
        <v/>
      </c>
    </row>
    <row r="671" spans="1:10" x14ac:dyDescent="0.5">
      <c r="A671" s="7" t="str">
        <f>IF(A670&lt;'Characteristics&amp;Parameters'!$B$17,ConcentrationsCalculations!A670+1,IF(A670="DS Node","",IF(A670="","","DS Node")))</f>
        <v/>
      </c>
      <c r="B671" s="8" t="str">
        <f>IF(A671&lt;='Characteristics&amp;Parameters'!$B$17,'Characteristics&amp;Parameters'!$B$7,IF(ConcentrationsCalculations!A671="DS Node",'Characteristics&amp;Parameters'!$B$8,""))</f>
        <v/>
      </c>
      <c r="C671" s="8"/>
      <c r="E671" s="7" t="s">
        <v>25</v>
      </c>
      <c r="F671" s="8" t="s">
        <v>25</v>
      </c>
      <c r="I671" s="7" t="str">
        <f>IF(I670&lt;'Characteristics&amp;Parameters'!$B$17,ConcentrationsCalculations!I670+1,IF(I670="DS Node","",IF(I670="","","DS Node")))</f>
        <v/>
      </c>
      <c r="J671" s="13" t="str">
        <f>IF(I671="DS Node",'Characteristics&amp;Parameters'!$B$8,IF(I671&lt;='Characteristics&amp;Parameters'!$B$17,((1-'Characteristics&amp;Parameters'!$B$19)*ConcentrationsCalculations!F671+'Characteristics&amp;Parameters'!$B$19*ConcentrationsCalculations!F670-F671/86400*'Characteristics&amp;Parameters'!$B$11*'Characteristics&amp;Parameters'!$B$12),""))</f>
        <v/>
      </c>
    </row>
    <row r="672" spans="1:10" x14ac:dyDescent="0.5">
      <c r="A672" s="7" t="str">
        <f>IF(A671&lt;'Characteristics&amp;Parameters'!$B$17,ConcentrationsCalculations!A671+1,IF(A671="DS Node","",IF(A671="","","DS Node")))</f>
        <v/>
      </c>
      <c r="B672" s="8" t="str">
        <f>IF(A672&lt;='Characteristics&amp;Parameters'!$B$17,'Characteristics&amp;Parameters'!$B$7,IF(ConcentrationsCalculations!A672="DS Node",'Characteristics&amp;Parameters'!$B$8,""))</f>
        <v/>
      </c>
      <c r="C672" s="8"/>
      <c r="E672" s="7" t="s">
        <v>25</v>
      </c>
      <c r="F672" s="8" t="s">
        <v>25</v>
      </c>
      <c r="I672" s="7" t="str">
        <f>IF(I671&lt;'Characteristics&amp;Parameters'!$B$17,ConcentrationsCalculations!I671+1,IF(I671="DS Node","",IF(I671="","","DS Node")))</f>
        <v/>
      </c>
      <c r="J672" s="13" t="str">
        <f>IF(I672="DS Node",'Characteristics&amp;Parameters'!$B$8,IF(I672&lt;='Characteristics&amp;Parameters'!$B$17,((1-'Characteristics&amp;Parameters'!$B$19)*ConcentrationsCalculations!F672+'Characteristics&amp;Parameters'!$B$19*ConcentrationsCalculations!F671-F672/86400*'Characteristics&amp;Parameters'!$B$11*'Characteristics&amp;Parameters'!$B$12),""))</f>
        <v/>
      </c>
    </row>
    <row r="673" spans="1:10" x14ac:dyDescent="0.5">
      <c r="A673" s="7" t="str">
        <f>IF(A672&lt;'Characteristics&amp;Parameters'!$B$17,ConcentrationsCalculations!A672+1,IF(A672="DS Node","",IF(A672="","","DS Node")))</f>
        <v/>
      </c>
      <c r="B673" s="8" t="str">
        <f>IF(A673&lt;='Characteristics&amp;Parameters'!$B$17,'Characteristics&amp;Parameters'!$B$7,IF(ConcentrationsCalculations!A673="DS Node",'Characteristics&amp;Parameters'!$B$8,""))</f>
        <v/>
      </c>
      <c r="C673" s="8"/>
      <c r="E673" s="7" t="s">
        <v>25</v>
      </c>
      <c r="F673" s="8" t="s">
        <v>25</v>
      </c>
      <c r="I673" s="7" t="str">
        <f>IF(I672&lt;'Characteristics&amp;Parameters'!$B$17,ConcentrationsCalculations!I672+1,IF(I672="DS Node","",IF(I672="","","DS Node")))</f>
        <v/>
      </c>
      <c r="J673" s="13" t="str">
        <f>IF(I673="DS Node",'Characteristics&amp;Parameters'!$B$8,IF(I673&lt;='Characteristics&amp;Parameters'!$B$17,((1-'Characteristics&amp;Parameters'!$B$19)*ConcentrationsCalculations!F673+'Characteristics&amp;Parameters'!$B$19*ConcentrationsCalculations!F672-F673/86400*'Characteristics&amp;Parameters'!$B$11*'Characteristics&amp;Parameters'!$B$12),""))</f>
        <v/>
      </c>
    </row>
    <row r="674" spans="1:10" x14ac:dyDescent="0.5">
      <c r="A674" s="7" t="str">
        <f>IF(A673&lt;'Characteristics&amp;Parameters'!$B$17,ConcentrationsCalculations!A673+1,IF(A673="DS Node","",IF(A673="","","DS Node")))</f>
        <v/>
      </c>
      <c r="B674" s="8" t="str">
        <f>IF(A674&lt;='Characteristics&amp;Parameters'!$B$17,'Characteristics&amp;Parameters'!$B$7,IF(ConcentrationsCalculations!A674="DS Node",'Characteristics&amp;Parameters'!$B$8,""))</f>
        <v/>
      </c>
      <c r="C674" s="8"/>
      <c r="E674" s="7" t="s">
        <v>25</v>
      </c>
      <c r="F674" s="8" t="s">
        <v>25</v>
      </c>
      <c r="I674" s="7" t="str">
        <f>IF(I673&lt;'Characteristics&amp;Parameters'!$B$17,ConcentrationsCalculations!I673+1,IF(I673="DS Node","",IF(I673="","","DS Node")))</f>
        <v/>
      </c>
      <c r="J674" s="13" t="str">
        <f>IF(I674="DS Node",'Characteristics&amp;Parameters'!$B$8,IF(I674&lt;='Characteristics&amp;Parameters'!$B$17,((1-'Characteristics&amp;Parameters'!$B$19)*ConcentrationsCalculations!F674+'Characteristics&amp;Parameters'!$B$19*ConcentrationsCalculations!F673-F674/86400*'Characteristics&amp;Parameters'!$B$11*'Characteristics&amp;Parameters'!$B$12),""))</f>
        <v/>
      </c>
    </row>
    <row r="675" spans="1:10" x14ac:dyDescent="0.5">
      <c r="A675" s="7" t="str">
        <f>IF(A674&lt;'Characteristics&amp;Parameters'!$B$17,ConcentrationsCalculations!A674+1,IF(A674="DS Node","",IF(A674="","","DS Node")))</f>
        <v/>
      </c>
      <c r="B675" s="8" t="str">
        <f>IF(A675&lt;='Characteristics&amp;Parameters'!$B$17,'Characteristics&amp;Parameters'!$B$7,IF(ConcentrationsCalculations!A675="DS Node",'Characteristics&amp;Parameters'!$B$8,""))</f>
        <v/>
      </c>
      <c r="C675" s="8"/>
      <c r="E675" s="7" t="s">
        <v>25</v>
      </c>
      <c r="F675" s="8" t="s">
        <v>25</v>
      </c>
      <c r="I675" s="7" t="str">
        <f>IF(I674&lt;'Characteristics&amp;Parameters'!$B$17,ConcentrationsCalculations!I674+1,IF(I674="DS Node","",IF(I674="","","DS Node")))</f>
        <v/>
      </c>
      <c r="J675" s="13" t="str">
        <f>IF(I675="DS Node",'Characteristics&amp;Parameters'!$B$8,IF(I675&lt;='Characteristics&amp;Parameters'!$B$17,((1-'Characteristics&amp;Parameters'!$B$19)*ConcentrationsCalculations!F675+'Characteristics&amp;Parameters'!$B$19*ConcentrationsCalculations!F674-F675/86400*'Characteristics&amp;Parameters'!$B$11*'Characteristics&amp;Parameters'!$B$12),""))</f>
        <v/>
      </c>
    </row>
    <row r="676" spans="1:10" x14ac:dyDescent="0.5">
      <c r="A676" s="7" t="str">
        <f>IF(A675&lt;'Characteristics&amp;Parameters'!$B$17,ConcentrationsCalculations!A675+1,IF(A675="DS Node","",IF(A675="","","DS Node")))</f>
        <v/>
      </c>
      <c r="B676" s="8" t="str">
        <f>IF(A676&lt;='Characteristics&amp;Parameters'!$B$17,'Characteristics&amp;Parameters'!$B$7,IF(ConcentrationsCalculations!A676="DS Node",'Characteristics&amp;Parameters'!$B$8,""))</f>
        <v/>
      </c>
      <c r="C676" s="8"/>
      <c r="E676" s="7" t="s">
        <v>25</v>
      </c>
      <c r="F676" s="8" t="s">
        <v>25</v>
      </c>
      <c r="I676" s="7" t="str">
        <f>IF(I675&lt;'Characteristics&amp;Parameters'!$B$17,ConcentrationsCalculations!I675+1,IF(I675="DS Node","",IF(I675="","","DS Node")))</f>
        <v/>
      </c>
      <c r="J676" s="13" t="str">
        <f>IF(I676="DS Node",'Characteristics&amp;Parameters'!$B$8,IF(I676&lt;='Characteristics&amp;Parameters'!$B$17,((1-'Characteristics&amp;Parameters'!$B$19)*ConcentrationsCalculations!F676+'Characteristics&amp;Parameters'!$B$19*ConcentrationsCalculations!F675-F676/86400*'Characteristics&amp;Parameters'!$B$11*'Characteristics&amp;Parameters'!$B$12),""))</f>
        <v/>
      </c>
    </row>
    <row r="677" spans="1:10" x14ac:dyDescent="0.5">
      <c r="A677" s="7" t="str">
        <f>IF(A676&lt;'Characteristics&amp;Parameters'!$B$17,ConcentrationsCalculations!A676+1,IF(A676="DS Node","",IF(A676="","","DS Node")))</f>
        <v/>
      </c>
      <c r="B677" s="8" t="str">
        <f>IF(A677&lt;='Characteristics&amp;Parameters'!$B$17,'Characteristics&amp;Parameters'!$B$7,IF(ConcentrationsCalculations!A677="DS Node",'Characteristics&amp;Parameters'!$B$8,""))</f>
        <v/>
      </c>
      <c r="C677" s="8"/>
      <c r="E677" s="7" t="s">
        <v>25</v>
      </c>
      <c r="F677" s="8" t="s">
        <v>25</v>
      </c>
      <c r="I677" s="7" t="str">
        <f>IF(I676&lt;'Characteristics&amp;Parameters'!$B$17,ConcentrationsCalculations!I676+1,IF(I676="DS Node","",IF(I676="","","DS Node")))</f>
        <v/>
      </c>
      <c r="J677" s="13" t="str">
        <f>IF(I677="DS Node",'Characteristics&amp;Parameters'!$B$8,IF(I677&lt;='Characteristics&amp;Parameters'!$B$17,((1-'Characteristics&amp;Parameters'!$B$19)*ConcentrationsCalculations!F677+'Characteristics&amp;Parameters'!$B$19*ConcentrationsCalculations!F676-F677/86400*'Characteristics&amp;Parameters'!$B$11*'Characteristics&amp;Parameters'!$B$12),""))</f>
        <v/>
      </c>
    </row>
    <row r="678" spans="1:10" x14ac:dyDescent="0.5">
      <c r="A678" s="7" t="str">
        <f>IF(A677&lt;'Characteristics&amp;Parameters'!$B$17,ConcentrationsCalculations!A677+1,IF(A677="DS Node","",IF(A677="","","DS Node")))</f>
        <v/>
      </c>
      <c r="B678" s="8" t="str">
        <f>IF(A678&lt;='Characteristics&amp;Parameters'!$B$17,'Characteristics&amp;Parameters'!$B$7,IF(ConcentrationsCalculations!A678="DS Node",'Characteristics&amp;Parameters'!$B$8,""))</f>
        <v/>
      </c>
      <c r="C678" s="8"/>
      <c r="E678" s="7" t="s">
        <v>25</v>
      </c>
      <c r="F678" s="8" t="s">
        <v>25</v>
      </c>
      <c r="I678" s="7" t="str">
        <f>IF(I677&lt;'Characteristics&amp;Parameters'!$B$17,ConcentrationsCalculations!I677+1,IF(I677="DS Node","",IF(I677="","","DS Node")))</f>
        <v/>
      </c>
      <c r="J678" s="13" t="str">
        <f>IF(I678="DS Node",'Characteristics&amp;Parameters'!$B$8,IF(I678&lt;='Characteristics&amp;Parameters'!$B$17,((1-'Characteristics&amp;Parameters'!$B$19)*ConcentrationsCalculations!F678+'Characteristics&amp;Parameters'!$B$19*ConcentrationsCalculations!F677-F678/86400*'Characteristics&amp;Parameters'!$B$11*'Characteristics&amp;Parameters'!$B$12),""))</f>
        <v/>
      </c>
    </row>
    <row r="679" spans="1:10" x14ac:dyDescent="0.5">
      <c r="A679" s="7" t="str">
        <f>IF(A678&lt;'Characteristics&amp;Parameters'!$B$17,ConcentrationsCalculations!A678+1,IF(A678="DS Node","",IF(A678="","","DS Node")))</f>
        <v/>
      </c>
      <c r="B679" s="8" t="str">
        <f>IF(A679&lt;='Characteristics&amp;Parameters'!$B$17,'Characteristics&amp;Parameters'!$B$7,IF(ConcentrationsCalculations!A679="DS Node",'Characteristics&amp;Parameters'!$B$8,""))</f>
        <v/>
      </c>
      <c r="C679" s="8"/>
      <c r="E679" s="7" t="s">
        <v>25</v>
      </c>
      <c r="F679" s="8" t="s">
        <v>25</v>
      </c>
      <c r="I679" s="7" t="str">
        <f>IF(I678&lt;'Characteristics&amp;Parameters'!$B$17,ConcentrationsCalculations!I678+1,IF(I678="DS Node","",IF(I678="","","DS Node")))</f>
        <v/>
      </c>
      <c r="J679" s="13" t="str">
        <f>IF(I679="DS Node",'Characteristics&amp;Parameters'!$B$8,IF(I679&lt;='Characteristics&amp;Parameters'!$B$17,((1-'Characteristics&amp;Parameters'!$B$19)*ConcentrationsCalculations!F679+'Characteristics&amp;Parameters'!$B$19*ConcentrationsCalculations!F678-F679/86400*'Characteristics&amp;Parameters'!$B$11*'Characteristics&amp;Parameters'!$B$12),""))</f>
        <v/>
      </c>
    </row>
    <row r="680" spans="1:10" x14ac:dyDescent="0.5">
      <c r="A680" s="7" t="str">
        <f>IF(A679&lt;'Characteristics&amp;Parameters'!$B$17,ConcentrationsCalculations!A679+1,IF(A679="DS Node","",IF(A679="","","DS Node")))</f>
        <v/>
      </c>
      <c r="B680" s="8" t="str">
        <f>IF(A680&lt;='Characteristics&amp;Parameters'!$B$17,'Characteristics&amp;Parameters'!$B$7,IF(ConcentrationsCalculations!A680="DS Node",'Characteristics&amp;Parameters'!$B$8,""))</f>
        <v/>
      </c>
      <c r="C680" s="8"/>
      <c r="E680" s="7" t="s">
        <v>25</v>
      </c>
      <c r="F680" s="8" t="s">
        <v>25</v>
      </c>
      <c r="I680" s="7" t="str">
        <f>IF(I679&lt;'Characteristics&amp;Parameters'!$B$17,ConcentrationsCalculations!I679+1,IF(I679="DS Node","",IF(I679="","","DS Node")))</f>
        <v/>
      </c>
      <c r="J680" s="13" t="str">
        <f>IF(I680="DS Node",'Characteristics&amp;Parameters'!$B$8,IF(I680&lt;='Characteristics&amp;Parameters'!$B$17,((1-'Characteristics&amp;Parameters'!$B$19)*ConcentrationsCalculations!F680+'Characteristics&amp;Parameters'!$B$19*ConcentrationsCalculations!F679-F680/86400*'Characteristics&amp;Parameters'!$B$11*'Characteristics&amp;Parameters'!$B$12),""))</f>
        <v/>
      </c>
    </row>
    <row r="681" spans="1:10" x14ac:dyDescent="0.5">
      <c r="A681" s="7" t="str">
        <f>IF(A680&lt;'Characteristics&amp;Parameters'!$B$17,ConcentrationsCalculations!A680+1,IF(A680="DS Node","",IF(A680="","","DS Node")))</f>
        <v/>
      </c>
      <c r="B681" s="8" t="str">
        <f>IF(A681&lt;='Characteristics&amp;Parameters'!$B$17,'Characteristics&amp;Parameters'!$B$7,IF(ConcentrationsCalculations!A681="DS Node",'Characteristics&amp;Parameters'!$B$8,""))</f>
        <v/>
      </c>
      <c r="C681" s="8"/>
      <c r="E681" s="7" t="s">
        <v>25</v>
      </c>
      <c r="F681" s="8" t="s">
        <v>25</v>
      </c>
      <c r="I681" s="7" t="str">
        <f>IF(I680&lt;'Characteristics&amp;Parameters'!$B$17,ConcentrationsCalculations!I680+1,IF(I680="DS Node","",IF(I680="","","DS Node")))</f>
        <v/>
      </c>
      <c r="J681" s="13" t="str">
        <f>IF(I681="DS Node",'Characteristics&amp;Parameters'!$B$8,IF(I681&lt;='Characteristics&amp;Parameters'!$B$17,((1-'Characteristics&amp;Parameters'!$B$19)*ConcentrationsCalculations!F681+'Characteristics&amp;Parameters'!$B$19*ConcentrationsCalculations!F680-F681/86400*'Characteristics&amp;Parameters'!$B$11*'Characteristics&amp;Parameters'!$B$12),""))</f>
        <v/>
      </c>
    </row>
    <row r="682" spans="1:10" x14ac:dyDescent="0.5">
      <c r="A682" s="7" t="str">
        <f>IF(A681&lt;'Characteristics&amp;Parameters'!$B$17,ConcentrationsCalculations!A681+1,IF(A681="DS Node","",IF(A681="","","DS Node")))</f>
        <v/>
      </c>
      <c r="B682" s="8" t="str">
        <f>IF(A682&lt;='Characteristics&amp;Parameters'!$B$17,'Characteristics&amp;Parameters'!$B$7,IF(ConcentrationsCalculations!A682="DS Node",'Characteristics&amp;Parameters'!$B$8,""))</f>
        <v/>
      </c>
      <c r="C682" s="8"/>
      <c r="E682" s="7" t="s">
        <v>25</v>
      </c>
      <c r="F682" s="8" t="s">
        <v>25</v>
      </c>
      <c r="I682" s="7" t="str">
        <f>IF(I681&lt;'Characteristics&amp;Parameters'!$B$17,ConcentrationsCalculations!I681+1,IF(I681="DS Node","",IF(I681="","","DS Node")))</f>
        <v/>
      </c>
      <c r="J682" s="13" t="str">
        <f>IF(I682="DS Node",'Characteristics&amp;Parameters'!$B$8,IF(I682&lt;='Characteristics&amp;Parameters'!$B$17,((1-'Characteristics&amp;Parameters'!$B$19)*ConcentrationsCalculations!F682+'Characteristics&amp;Parameters'!$B$19*ConcentrationsCalculations!F681-F682/86400*'Characteristics&amp;Parameters'!$B$11*'Characteristics&amp;Parameters'!$B$12),""))</f>
        <v/>
      </c>
    </row>
    <row r="683" spans="1:10" x14ac:dyDescent="0.5">
      <c r="A683" s="7" t="str">
        <f>IF(A682&lt;'Characteristics&amp;Parameters'!$B$17,ConcentrationsCalculations!A682+1,IF(A682="DS Node","",IF(A682="","","DS Node")))</f>
        <v/>
      </c>
      <c r="B683" s="8" t="str">
        <f>IF(A683&lt;='Characteristics&amp;Parameters'!$B$17,'Characteristics&amp;Parameters'!$B$7,IF(ConcentrationsCalculations!A683="DS Node",'Characteristics&amp;Parameters'!$B$8,""))</f>
        <v/>
      </c>
      <c r="C683" s="8"/>
      <c r="E683" s="7" t="s">
        <v>25</v>
      </c>
      <c r="F683" s="8" t="s">
        <v>25</v>
      </c>
      <c r="I683" s="7" t="str">
        <f>IF(I682&lt;'Characteristics&amp;Parameters'!$B$17,ConcentrationsCalculations!I682+1,IF(I682="DS Node","",IF(I682="","","DS Node")))</f>
        <v/>
      </c>
      <c r="J683" s="13" t="str">
        <f>IF(I683="DS Node",'Characteristics&amp;Parameters'!$B$8,IF(I683&lt;='Characteristics&amp;Parameters'!$B$17,((1-'Characteristics&amp;Parameters'!$B$19)*ConcentrationsCalculations!F683+'Characteristics&amp;Parameters'!$B$19*ConcentrationsCalculations!F682-F683/86400*'Characteristics&amp;Parameters'!$B$11*'Characteristics&amp;Parameters'!$B$12),""))</f>
        <v/>
      </c>
    </row>
    <row r="684" spans="1:10" x14ac:dyDescent="0.5">
      <c r="A684" s="7" t="str">
        <f>IF(A683&lt;'Characteristics&amp;Parameters'!$B$17,ConcentrationsCalculations!A683+1,IF(A683="DS Node","",IF(A683="","","DS Node")))</f>
        <v/>
      </c>
      <c r="B684" s="8" t="str">
        <f>IF(A684&lt;='Characteristics&amp;Parameters'!$B$17,'Characteristics&amp;Parameters'!$B$7,IF(ConcentrationsCalculations!A684="DS Node",'Characteristics&amp;Parameters'!$B$8,""))</f>
        <v/>
      </c>
      <c r="C684" s="8"/>
      <c r="E684" s="7" t="s">
        <v>25</v>
      </c>
      <c r="F684" s="8" t="s">
        <v>25</v>
      </c>
      <c r="I684" s="7" t="str">
        <f>IF(I683&lt;'Characteristics&amp;Parameters'!$B$17,ConcentrationsCalculations!I683+1,IF(I683="DS Node","",IF(I683="","","DS Node")))</f>
        <v/>
      </c>
      <c r="J684" s="13" t="str">
        <f>IF(I684="DS Node",'Characteristics&amp;Parameters'!$B$8,IF(I684&lt;='Characteristics&amp;Parameters'!$B$17,((1-'Characteristics&amp;Parameters'!$B$19)*ConcentrationsCalculations!F684+'Characteristics&amp;Parameters'!$B$19*ConcentrationsCalculations!F683-F684/86400*'Characteristics&amp;Parameters'!$B$11*'Characteristics&amp;Parameters'!$B$12),""))</f>
        <v/>
      </c>
    </row>
    <row r="685" spans="1:10" x14ac:dyDescent="0.5">
      <c r="A685" s="7" t="str">
        <f>IF(A684&lt;'Characteristics&amp;Parameters'!$B$17,ConcentrationsCalculations!A684+1,IF(A684="DS Node","",IF(A684="","","DS Node")))</f>
        <v/>
      </c>
      <c r="B685" s="8" t="str">
        <f>IF(A685&lt;='Characteristics&amp;Parameters'!$B$17,'Characteristics&amp;Parameters'!$B$7,IF(ConcentrationsCalculations!A685="DS Node",'Characteristics&amp;Parameters'!$B$8,""))</f>
        <v/>
      </c>
      <c r="C685" s="8"/>
      <c r="E685" s="7" t="s">
        <v>25</v>
      </c>
      <c r="F685" s="8" t="s">
        <v>25</v>
      </c>
      <c r="I685" s="7" t="str">
        <f>IF(I684&lt;'Characteristics&amp;Parameters'!$B$17,ConcentrationsCalculations!I684+1,IF(I684="DS Node","",IF(I684="","","DS Node")))</f>
        <v/>
      </c>
      <c r="J685" s="13" t="str">
        <f>IF(I685="DS Node",'Characteristics&amp;Parameters'!$B$8,IF(I685&lt;='Characteristics&amp;Parameters'!$B$17,((1-'Characteristics&amp;Parameters'!$B$19)*ConcentrationsCalculations!F685+'Characteristics&amp;Parameters'!$B$19*ConcentrationsCalculations!F684-F685/86400*'Characteristics&amp;Parameters'!$B$11*'Characteristics&amp;Parameters'!$B$12),""))</f>
        <v/>
      </c>
    </row>
    <row r="686" spans="1:10" x14ac:dyDescent="0.5">
      <c r="A686" s="7" t="str">
        <f>IF(A685&lt;'Characteristics&amp;Parameters'!$B$17,ConcentrationsCalculations!A685+1,IF(A685="DS Node","",IF(A685="","","DS Node")))</f>
        <v/>
      </c>
      <c r="B686" s="8" t="str">
        <f>IF(A686&lt;='Characteristics&amp;Parameters'!$B$17,'Characteristics&amp;Parameters'!$B$7,IF(ConcentrationsCalculations!A686="DS Node",'Characteristics&amp;Parameters'!$B$8,""))</f>
        <v/>
      </c>
      <c r="C686" s="8"/>
      <c r="E686" s="7" t="s">
        <v>25</v>
      </c>
      <c r="F686" s="8" t="s">
        <v>25</v>
      </c>
      <c r="I686" s="7" t="str">
        <f>IF(I685&lt;'Characteristics&amp;Parameters'!$B$17,ConcentrationsCalculations!I685+1,IF(I685="DS Node","",IF(I685="","","DS Node")))</f>
        <v/>
      </c>
      <c r="J686" s="13" t="str">
        <f>IF(I686="DS Node",'Characteristics&amp;Parameters'!$B$8,IF(I686&lt;='Characteristics&amp;Parameters'!$B$17,((1-'Characteristics&amp;Parameters'!$B$19)*ConcentrationsCalculations!F686+'Characteristics&amp;Parameters'!$B$19*ConcentrationsCalculations!F685-F686/86400*'Characteristics&amp;Parameters'!$B$11*'Characteristics&amp;Parameters'!$B$12),""))</f>
        <v/>
      </c>
    </row>
    <row r="687" spans="1:10" x14ac:dyDescent="0.5">
      <c r="A687" s="7" t="str">
        <f>IF(A686&lt;'Characteristics&amp;Parameters'!$B$17,ConcentrationsCalculations!A686+1,IF(A686="DS Node","",IF(A686="","","DS Node")))</f>
        <v/>
      </c>
      <c r="B687" s="8" t="str">
        <f>IF(A687&lt;='Characteristics&amp;Parameters'!$B$17,'Characteristics&amp;Parameters'!$B$7,IF(ConcentrationsCalculations!A687="DS Node",'Characteristics&amp;Parameters'!$B$8,""))</f>
        <v/>
      </c>
      <c r="C687" s="8"/>
      <c r="E687" s="7" t="s">
        <v>25</v>
      </c>
      <c r="F687" s="8" t="s">
        <v>25</v>
      </c>
      <c r="I687" s="7" t="str">
        <f>IF(I686&lt;'Characteristics&amp;Parameters'!$B$17,ConcentrationsCalculations!I686+1,IF(I686="DS Node","",IF(I686="","","DS Node")))</f>
        <v/>
      </c>
      <c r="J687" s="13" t="str">
        <f>IF(I687="DS Node",'Characteristics&amp;Parameters'!$B$8,IF(I687&lt;='Characteristics&amp;Parameters'!$B$17,((1-'Characteristics&amp;Parameters'!$B$19)*ConcentrationsCalculations!F687+'Characteristics&amp;Parameters'!$B$19*ConcentrationsCalculations!F686-F687/86400*'Characteristics&amp;Parameters'!$B$11*'Characteristics&amp;Parameters'!$B$12),""))</f>
        <v/>
      </c>
    </row>
    <row r="688" spans="1:10" x14ac:dyDescent="0.5">
      <c r="A688" s="7" t="str">
        <f>IF(A687&lt;'Characteristics&amp;Parameters'!$B$17,ConcentrationsCalculations!A687+1,IF(A687="DS Node","",IF(A687="","","DS Node")))</f>
        <v/>
      </c>
      <c r="B688" s="8" t="str">
        <f>IF(A688&lt;='Characteristics&amp;Parameters'!$B$17,'Characteristics&amp;Parameters'!$B$7,IF(ConcentrationsCalculations!A688="DS Node",'Characteristics&amp;Parameters'!$B$8,""))</f>
        <v/>
      </c>
      <c r="C688" s="8"/>
      <c r="E688" s="7" t="s">
        <v>25</v>
      </c>
      <c r="F688" s="8" t="s">
        <v>25</v>
      </c>
      <c r="I688" s="7" t="str">
        <f>IF(I687&lt;'Characteristics&amp;Parameters'!$B$17,ConcentrationsCalculations!I687+1,IF(I687="DS Node","",IF(I687="","","DS Node")))</f>
        <v/>
      </c>
      <c r="J688" s="13" t="str">
        <f>IF(I688="DS Node",'Characteristics&amp;Parameters'!$B$8,IF(I688&lt;='Characteristics&amp;Parameters'!$B$17,((1-'Characteristics&amp;Parameters'!$B$19)*ConcentrationsCalculations!F688+'Characteristics&amp;Parameters'!$B$19*ConcentrationsCalculations!F687-F688/86400*'Characteristics&amp;Parameters'!$B$11*'Characteristics&amp;Parameters'!$B$12),""))</f>
        <v/>
      </c>
    </row>
    <row r="689" spans="1:10" x14ac:dyDescent="0.5">
      <c r="A689" s="7" t="str">
        <f>IF(A688&lt;'Characteristics&amp;Parameters'!$B$17,ConcentrationsCalculations!A688+1,IF(A688="DS Node","",IF(A688="","","DS Node")))</f>
        <v/>
      </c>
      <c r="B689" s="8" t="str">
        <f>IF(A689&lt;='Characteristics&amp;Parameters'!$B$17,'Characteristics&amp;Parameters'!$B$7,IF(ConcentrationsCalculations!A689="DS Node",'Characteristics&amp;Parameters'!$B$8,""))</f>
        <v/>
      </c>
      <c r="C689" s="8"/>
      <c r="E689" s="7" t="s">
        <v>25</v>
      </c>
      <c r="F689" s="8" t="s">
        <v>25</v>
      </c>
      <c r="I689" s="7" t="str">
        <f>IF(I688&lt;'Characteristics&amp;Parameters'!$B$17,ConcentrationsCalculations!I688+1,IF(I688="DS Node","",IF(I688="","","DS Node")))</f>
        <v/>
      </c>
      <c r="J689" s="13" t="str">
        <f>IF(I689="DS Node",'Characteristics&amp;Parameters'!$B$8,IF(I689&lt;='Characteristics&amp;Parameters'!$B$17,((1-'Characteristics&amp;Parameters'!$B$19)*ConcentrationsCalculations!F689+'Characteristics&amp;Parameters'!$B$19*ConcentrationsCalculations!F688-F689/86400*'Characteristics&amp;Parameters'!$B$11*'Characteristics&amp;Parameters'!$B$12),""))</f>
        <v/>
      </c>
    </row>
    <row r="690" spans="1:10" x14ac:dyDescent="0.5">
      <c r="A690" s="7" t="str">
        <f>IF(A689&lt;'Characteristics&amp;Parameters'!$B$17,ConcentrationsCalculations!A689+1,IF(A689="DS Node","",IF(A689="","","DS Node")))</f>
        <v/>
      </c>
      <c r="B690" s="8" t="str">
        <f>IF(A690&lt;='Characteristics&amp;Parameters'!$B$17,'Characteristics&amp;Parameters'!$B$7,IF(ConcentrationsCalculations!A690="DS Node",'Characteristics&amp;Parameters'!$B$8,""))</f>
        <v/>
      </c>
      <c r="C690" s="8"/>
      <c r="E690" s="7" t="s">
        <v>25</v>
      </c>
      <c r="F690" s="8" t="s">
        <v>25</v>
      </c>
      <c r="I690" s="7" t="str">
        <f>IF(I689&lt;'Characteristics&amp;Parameters'!$B$17,ConcentrationsCalculations!I689+1,IF(I689="DS Node","",IF(I689="","","DS Node")))</f>
        <v/>
      </c>
      <c r="J690" s="13" t="str">
        <f>IF(I690="DS Node",'Characteristics&amp;Parameters'!$B$8,IF(I690&lt;='Characteristics&amp;Parameters'!$B$17,((1-'Characteristics&amp;Parameters'!$B$19)*ConcentrationsCalculations!F690+'Characteristics&amp;Parameters'!$B$19*ConcentrationsCalculations!F689-F690/86400*'Characteristics&amp;Parameters'!$B$11*'Characteristics&amp;Parameters'!$B$12),""))</f>
        <v/>
      </c>
    </row>
    <row r="691" spans="1:10" x14ac:dyDescent="0.5">
      <c r="A691" s="7" t="str">
        <f>IF(A690&lt;'Characteristics&amp;Parameters'!$B$17,ConcentrationsCalculations!A690+1,IF(A690="DS Node","",IF(A690="","","DS Node")))</f>
        <v/>
      </c>
      <c r="B691" s="8" t="str">
        <f>IF(A691&lt;='Characteristics&amp;Parameters'!$B$17,'Characteristics&amp;Parameters'!$B$7,IF(ConcentrationsCalculations!A691="DS Node",'Characteristics&amp;Parameters'!$B$8,""))</f>
        <v/>
      </c>
      <c r="C691" s="8"/>
      <c r="E691" s="7" t="s">
        <v>25</v>
      </c>
      <c r="F691" s="8" t="s">
        <v>25</v>
      </c>
      <c r="I691" s="7" t="str">
        <f>IF(I690&lt;'Characteristics&amp;Parameters'!$B$17,ConcentrationsCalculations!I690+1,IF(I690="DS Node","",IF(I690="","","DS Node")))</f>
        <v/>
      </c>
      <c r="J691" s="13" t="str">
        <f>IF(I691="DS Node",'Characteristics&amp;Parameters'!$B$8,IF(I691&lt;='Characteristics&amp;Parameters'!$B$17,((1-'Characteristics&amp;Parameters'!$B$19)*ConcentrationsCalculations!F691+'Characteristics&amp;Parameters'!$B$19*ConcentrationsCalculations!F690-F691/86400*'Characteristics&amp;Parameters'!$B$11*'Characteristics&amp;Parameters'!$B$12),""))</f>
        <v/>
      </c>
    </row>
    <row r="692" spans="1:10" x14ac:dyDescent="0.5">
      <c r="A692" s="7" t="str">
        <f>IF(A691&lt;'Characteristics&amp;Parameters'!$B$17,ConcentrationsCalculations!A691+1,IF(A691="DS Node","",IF(A691="","","DS Node")))</f>
        <v/>
      </c>
      <c r="B692" s="8" t="str">
        <f>IF(A692&lt;='Characteristics&amp;Parameters'!$B$17,'Characteristics&amp;Parameters'!$B$7,IF(ConcentrationsCalculations!A692="DS Node",'Characteristics&amp;Parameters'!$B$8,""))</f>
        <v/>
      </c>
      <c r="C692" s="8"/>
      <c r="E692" s="7" t="s">
        <v>25</v>
      </c>
      <c r="F692" s="8" t="s">
        <v>25</v>
      </c>
      <c r="I692" s="7" t="str">
        <f>IF(I691&lt;'Characteristics&amp;Parameters'!$B$17,ConcentrationsCalculations!I691+1,IF(I691="DS Node","",IF(I691="","","DS Node")))</f>
        <v/>
      </c>
      <c r="J692" s="13" t="str">
        <f>IF(I692="DS Node",'Characteristics&amp;Parameters'!$B$8,IF(I692&lt;='Characteristics&amp;Parameters'!$B$17,((1-'Characteristics&amp;Parameters'!$B$19)*ConcentrationsCalculations!F692+'Characteristics&amp;Parameters'!$B$19*ConcentrationsCalculations!F691-F692/86400*'Characteristics&amp;Parameters'!$B$11*'Characteristics&amp;Parameters'!$B$12),""))</f>
        <v/>
      </c>
    </row>
    <row r="693" spans="1:10" x14ac:dyDescent="0.5">
      <c r="A693" s="7" t="str">
        <f>IF(A692&lt;'Characteristics&amp;Parameters'!$B$17,ConcentrationsCalculations!A692+1,IF(A692="DS Node","",IF(A692="","","DS Node")))</f>
        <v/>
      </c>
      <c r="B693" s="8" t="str">
        <f>IF(A693&lt;='Characteristics&amp;Parameters'!$B$17,'Characteristics&amp;Parameters'!$B$7,IF(ConcentrationsCalculations!A693="DS Node",'Characteristics&amp;Parameters'!$B$8,""))</f>
        <v/>
      </c>
      <c r="C693" s="8"/>
      <c r="E693" s="7" t="s">
        <v>25</v>
      </c>
      <c r="F693" s="8" t="s">
        <v>25</v>
      </c>
      <c r="I693" s="7" t="str">
        <f>IF(I692&lt;'Characteristics&amp;Parameters'!$B$17,ConcentrationsCalculations!I692+1,IF(I692="DS Node","",IF(I692="","","DS Node")))</f>
        <v/>
      </c>
      <c r="J693" s="13" t="str">
        <f>IF(I693="DS Node",'Characteristics&amp;Parameters'!$B$8,IF(I693&lt;='Characteristics&amp;Parameters'!$B$17,((1-'Characteristics&amp;Parameters'!$B$19)*ConcentrationsCalculations!F693+'Characteristics&amp;Parameters'!$B$19*ConcentrationsCalculations!F692-F693/86400*'Characteristics&amp;Parameters'!$B$11*'Characteristics&amp;Parameters'!$B$12),""))</f>
        <v/>
      </c>
    </row>
    <row r="694" spans="1:10" x14ac:dyDescent="0.5">
      <c r="A694" s="7" t="str">
        <f>IF(A693&lt;'Characteristics&amp;Parameters'!$B$17,ConcentrationsCalculations!A693+1,IF(A693="DS Node","",IF(A693="","","DS Node")))</f>
        <v/>
      </c>
      <c r="B694" s="8" t="str">
        <f>IF(A694&lt;='Characteristics&amp;Parameters'!$B$17,'Characteristics&amp;Parameters'!$B$7,IF(ConcentrationsCalculations!A694="DS Node",'Characteristics&amp;Parameters'!$B$8,""))</f>
        <v/>
      </c>
      <c r="C694" s="8"/>
      <c r="E694" s="7" t="s">
        <v>25</v>
      </c>
      <c r="F694" s="8" t="s">
        <v>25</v>
      </c>
      <c r="I694" s="7" t="str">
        <f>IF(I693&lt;'Characteristics&amp;Parameters'!$B$17,ConcentrationsCalculations!I693+1,IF(I693="DS Node","",IF(I693="","","DS Node")))</f>
        <v/>
      </c>
      <c r="J694" s="13" t="str">
        <f>IF(I694="DS Node",'Characteristics&amp;Parameters'!$B$8,IF(I694&lt;='Characteristics&amp;Parameters'!$B$17,((1-'Characteristics&amp;Parameters'!$B$19)*ConcentrationsCalculations!F694+'Characteristics&amp;Parameters'!$B$19*ConcentrationsCalculations!F693-F694/86400*'Characteristics&amp;Parameters'!$B$11*'Characteristics&amp;Parameters'!$B$12),""))</f>
        <v/>
      </c>
    </row>
    <row r="695" spans="1:10" x14ac:dyDescent="0.5">
      <c r="A695" s="7" t="str">
        <f>IF(A694&lt;'Characteristics&amp;Parameters'!$B$17,ConcentrationsCalculations!A694+1,IF(A694="DS Node","",IF(A694="","","DS Node")))</f>
        <v/>
      </c>
      <c r="B695" s="8" t="str">
        <f>IF(A695&lt;='Characteristics&amp;Parameters'!$B$17,'Characteristics&amp;Parameters'!$B$7,IF(ConcentrationsCalculations!A695="DS Node",'Characteristics&amp;Parameters'!$B$8,""))</f>
        <v/>
      </c>
      <c r="C695" s="8"/>
      <c r="E695" s="7" t="s">
        <v>25</v>
      </c>
      <c r="F695" s="8" t="s">
        <v>25</v>
      </c>
      <c r="I695" s="7" t="str">
        <f>IF(I694&lt;'Characteristics&amp;Parameters'!$B$17,ConcentrationsCalculations!I694+1,IF(I694="DS Node","",IF(I694="","","DS Node")))</f>
        <v/>
      </c>
      <c r="J695" s="13" t="str">
        <f>IF(I695="DS Node",'Characteristics&amp;Parameters'!$B$8,IF(I695&lt;='Characteristics&amp;Parameters'!$B$17,((1-'Characteristics&amp;Parameters'!$B$19)*ConcentrationsCalculations!F695+'Characteristics&amp;Parameters'!$B$19*ConcentrationsCalculations!F694-F695/86400*'Characteristics&amp;Parameters'!$B$11*'Characteristics&amp;Parameters'!$B$12),""))</f>
        <v/>
      </c>
    </row>
    <row r="696" spans="1:10" x14ac:dyDescent="0.5">
      <c r="A696" s="7" t="str">
        <f>IF(A695&lt;'Characteristics&amp;Parameters'!$B$17,ConcentrationsCalculations!A695+1,IF(A695="DS Node","",IF(A695="","","DS Node")))</f>
        <v/>
      </c>
      <c r="B696" s="8" t="str">
        <f>IF(A696&lt;='Characteristics&amp;Parameters'!$B$17,'Characteristics&amp;Parameters'!$B$7,IF(ConcentrationsCalculations!A696="DS Node",'Characteristics&amp;Parameters'!$B$8,""))</f>
        <v/>
      </c>
      <c r="C696" s="8"/>
      <c r="E696" s="7" t="s">
        <v>25</v>
      </c>
      <c r="F696" s="8" t="s">
        <v>25</v>
      </c>
      <c r="I696" s="7" t="str">
        <f>IF(I695&lt;'Characteristics&amp;Parameters'!$B$17,ConcentrationsCalculations!I695+1,IF(I695="DS Node","",IF(I695="","","DS Node")))</f>
        <v/>
      </c>
      <c r="J696" s="13" t="str">
        <f>IF(I696="DS Node",'Characteristics&amp;Parameters'!$B$8,IF(I696&lt;='Characteristics&amp;Parameters'!$B$17,((1-'Characteristics&amp;Parameters'!$B$19)*ConcentrationsCalculations!F696+'Characteristics&amp;Parameters'!$B$19*ConcentrationsCalculations!F695-F696/86400*'Characteristics&amp;Parameters'!$B$11*'Characteristics&amp;Parameters'!$B$12),""))</f>
        <v/>
      </c>
    </row>
    <row r="697" spans="1:10" x14ac:dyDescent="0.5">
      <c r="A697" s="7" t="str">
        <f>IF(A696&lt;'Characteristics&amp;Parameters'!$B$17,ConcentrationsCalculations!A696+1,IF(A696="DS Node","",IF(A696="","","DS Node")))</f>
        <v/>
      </c>
      <c r="B697" s="8" t="str">
        <f>IF(A697&lt;='Characteristics&amp;Parameters'!$B$17,'Characteristics&amp;Parameters'!$B$7,IF(ConcentrationsCalculations!A697="DS Node",'Characteristics&amp;Parameters'!$B$8,""))</f>
        <v/>
      </c>
      <c r="C697" s="8"/>
      <c r="E697" s="7" t="s">
        <v>25</v>
      </c>
      <c r="F697" s="8" t="s">
        <v>25</v>
      </c>
      <c r="I697" s="7" t="str">
        <f>IF(I696&lt;'Characteristics&amp;Parameters'!$B$17,ConcentrationsCalculations!I696+1,IF(I696="DS Node","",IF(I696="","","DS Node")))</f>
        <v/>
      </c>
      <c r="J697" s="13" t="str">
        <f>IF(I697="DS Node",'Characteristics&amp;Parameters'!$B$8,IF(I697&lt;='Characteristics&amp;Parameters'!$B$17,((1-'Characteristics&amp;Parameters'!$B$19)*ConcentrationsCalculations!F697+'Characteristics&amp;Parameters'!$B$19*ConcentrationsCalculations!F696-F697/86400*'Characteristics&amp;Parameters'!$B$11*'Characteristics&amp;Parameters'!$B$12),""))</f>
        <v/>
      </c>
    </row>
    <row r="698" spans="1:10" x14ac:dyDescent="0.5">
      <c r="A698" s="7" t="str">
        <f>IF(A697&lt;'Characteristics&amp;Parameters'!$B$17,ConcentrationsCalculations!A697+1,IF(A697="DS Node","",IF(A697="","","DS Node")))</f>
        <v/>
      </c>
      <c r="B698" s="8" t="str">
        <f>IF(A698&lt;='Characteristics&amp;Parameters'!$B$17,'Characteristics&amp;Parameters'!$B$7,IF(ConcentrationsCalculations!A698="DS Node",'Characteristics&amp;Parameters'!$B$8,""))</f>
        <v/>
      </c>
      <c r="C698" s="8"/>
      <c r="E698" s="7" t="s">
        <v>25</v>
      </c>
      <c r="F698" s="8" t="s">
        <v>25</v>
      </c>
      <c r="I698" s="7" t="str">
        <f>IF(I697&lt;'Characteristics&amp;Parameters'!$B$17,ConcentrationsCalculations!I697+1,IF(I697="DS Node","",IF(I697="","","DS Node")))</f>
        <v/>
      </c>
      <c r="J698" s="13" t="str">
        <f>IF(I698="DS Node",'Characteristics&amp;Parameters'!$B$8,IF(I698&lt;='Characteristics&amp;Parameters'!$B$17,((1-'Characteristics&amp;Parameters'!$B$19)*ConcentrationsCalculations!F698+'Characteristics&amp;Parameters'!$B$19*ConcentrationsCalculations!F697-F698/86400*'Characteristics&amp;Parameters'!$B$11*'Characteristics&amp;Parameters'!$B$12),""))</f>
        <v/>
      </c>
    </row>
    <row r="699" spans="1:10" x14ac:dyDescent="0.5">
      <c r="A699" s="7" t="str">
        <f>IF(A698&lt;'Characteristics&amp;Parameters'!$B$17,ConcentrationsCalculations!A698+1,IF(A698="DS Node","",IF(A698="","","DS Node")))</f>
        <v/>
      </c>
      <c r="B699" s="8" t="str">
        <f>IF(A699&lt;='Characteristics&amp;Parameters'!$B$17,'Characteristics&amp;Parameters'!$B$7,IF(ConcentrationsCalculations!A699="DS Node",'Characteristics&amp;Parameters'!$B$8,""))</f>
        <v/>
      </c>
      <c r="C699" s="8"/>
      <c r="E699" s="7" t="s">
        <v>25</v>
      </c>
      <c r="F699" s="8" t="s">
        <v>25</v>
      </c>
      <c r="I699" s="7" t="str">
        <f>IF(I698&lt;'Characteristics&amp;Parameters'!$B$17,ConcentrationsCalculations!I698+1,IF(I698="DS Node","",IF(I698="","","DS Node")))</f>
        <v/>
      </c>
      <c r="J699" s="13" t="str">
        <f>IF(I699="DS Node",'Characteristics&amp;Parameters'!$B$8,IF(I699&lt;='Characteristics&amp;Parameters'!$B$17,((1-'Characteristics&amp;Parameters'!$B$19)*ConcentrationsCalculations!F699+'Characteristics&amp;Parameters'!$B$19*ConcentrationsCalculations!F698-F699/86400*'Characteristics&amp;Parameters'!$B$11*'Characteristics&amp;Parameters'!$B$12),""))</f>
        <v/>
      </c>
    </row>
    <row r="700" spans="1:10" x14ac:dyDescent="0.5">
      <c r="A700" s="7" t="str">
        <f>IF(A699&lt;'Characteristics&amp;Parameters'!$B$17,ConcentrationsCalculations!A699+1,IF(A699="DS Node","",IF(A699="","","DS Node")))</f>
        <v/>
      </c>
      <c r="B700" s="8" t="str">
        <f>IF(A700&lt;='Characteristics&amp;Parameters'!$B$17,'Characteristics&amp;Parameters'!$B$7,IF(ConcentrationsCalculations!A700="DS Node",'Characteristics&amp;Parameters'!$B$8,""))</f>
        <v/>
      </c>
      <c r="C700" s="8"/>
      <c r="E700" s="7" t="s">
        <v>25</v>
      </c>
      <c r="F700" s="8" t="s">
        <v>25</v>
      </c>
      <c r="I700" s="7" t="str">
        <f>IF(I699&lt;'Characteristics&amp;Parameters'!$B$17,ConcentrationsCalculations!I699+1,IF(I699="DS Node","",IF(I699="","","DS Node")))</f>
        <v/>
      </c>
      <c r="J700" s="13" t="str">
        <f>IF(I700="DS Node",'Characteristics&amp;Parameters'!$B$8,IF(I700&lt;='Characteristics&amp;Parameters'!$B$17,((1-'Characteristics&amp;Parameters'!$B$19)*ConcentrationsCalculations!F700+'Characteristics&amp;Parameters'!$B$19*ConcentrationsCalculations!F699-F700/86400*'Characteristics&amp;Parameters'!$B$11*'Characteristics&amp;Parameters'!$B$12),""))</f>
        <v/>
      </c>
    </row>
    <row r="701" spans="1:10" x14ac:dyDescent="0.5">
      <c r="A701" s="7" t="str">
        <f>IF(A700&lt;'Characteristics&amp;Parameters'!$B$17,ConcentrationsCalculations!A700+1,IF(A700="DS Node","",IF(A700="","","DS Node")))</f>
        <v/>
      </c>
      <c r="B701" s="8" t="str">
        <f>IF(A701&lt;='Characteristics&amp;Parameters'!$B$17,'Characteristics&amp;Parameters'!$B$7,IF(ConcentrationsCalculations!A701="DS Node",'Characteristics&amp;Parameters'!$B$8,""))</f>
        <v/>
      </c>
      <c r="C701" s="8"/>
      <c r="E701" s="7" t="s">
        <v>25</v>
      </c>
      <c r="F701" s="8" t="s">
        <v>25</v>
      </c>
      <c r="I701" s="7" t="str">
        <f>IF(I700&lt;'Characteristics&amp;Parameters'!$B$17,ConcentrationsCalculations!I700+1,IF(I700="DS Node","",IF(I700="","","DS Node")))</f>
        <v/>
      </c>
      <c r="J701" s="13" t="str">
        <f>IF(I701="DS Node",'Characteristics&amp;Parameters'!$B$8,IF(I701&lt;='Characteristics&amp;Parameters'!$B$17,((1-'Characteristics&amp;Parameters'!$B$19)*ConcentrationsCalculations!F701+'Characteristics&amp;Parameters'!$B$19*ConcentrationsCalculations!F700-F701/86400*'Characteristics&amp;Parameters'!$B$11*'Characteristics&amp;Parameters'!$B$12),""))</f>
        <v/>
      </c>
    </row>
    <row r="702" spans="1:10" x14ac:dyDescent="0.5">
      <c r="A702" s="7" t="str">
        <f>IF(A701&lt;'Characteristics&amp;Parameters'!$B$17,ConcentrationsCalculations!A701+1,IF(A701="DS Node","",IF(A701="","","DS Node")))</f>
        <v/>
      </c>
      <c r="B702" s="8" t="str">
        <f>IF(A702&lt;='Characteristics&amp;Parameters'!$B$17,'Characteristics&amp;Parameters'!$B$7,IF(ConcentrationsCalculations!A702="DS Node",'Characteristics&amp;Parameters'!$B$8,""))</f>
        <v/>
      </c>
      <c r="C702" s="8"/>
      <c r="E702" s="7" t="s">
        <v>25</v>
      </c>
      <c r="F702" s="8" t="s">
        <v>25</v>
      </c>
      <c r="I702" s="7" t="str">
        <f>IF(I701&lt;'Characteristics&amp;Parameters'!$B$17,ConcentrationsCalculations!I701+1,IF(I701="DS Node","",IF(I701="","","DS Node")))</f>
        <v/>
      </c>
      <c r="J702" s="13" t="str">
        <f>IF(I702="DS Node",'Characteristics&amp;Parameters'!$B$8,IF(I702&lt;='Characteristics&amp;Parameters'!$B$17,((1-'Characteristics&amp;Parameters'!$B$19)*ConcentrationsCalculations!F702+'Characteristics&amp;Parameters'!$B$19*ConcentrationsCalculations!F701-F702/86400*'Characteristics&amp;Parameters'!$B$11*'Characteristics&amp;Parameters'!$B$12),""))</f>
        <v/>
      </c>
    </row>
    <row r="703" spans="1:10" x14ac:dyDescent="0.5">
      <c r="A703" s="7" t="str">
        <f>IF(A702&lt;'Characteristics&amp;Parameters'!$B$17,ConcentrationsCalculations!A702+1,IF(A702="DS Node","",IF(A702="","","DS Node")))</f>
        <v/>
      </c>
      <c r="B703" s="8" t="str">
        <f>IF(A703&lt;='Characteristics&amp;Parameters'!$B$17,'Characteristics&amp;Parameters'!$B$7,IF(ConcentrationsCalculations!A703="DS Node",'Characteristics&amp;Parameters'!$B$8,""))</f>
        <v/>
      </c>
      <c r="C703" s="8"/>
      <c r="E703" s="7" t="s">
        <v>25</v>
      </c>
      <c r="F703" s="8" t="s">
        <v>25</v>
      </c>
      <c r="I703" s="7" t="str">
        <f>IF(I702&lt;'Characteristics&amp;Parameters'!$B$17,ConcentrationsCalculations!I702+1,IF(I702="DS Node","",IF(I702="","","DS Node")))</f>
        <v/>
      </c>
      <c r="J703" s="13" t="str">
        <f>IF(I703="DS Node",'Characteristics&amp;Parameters'!$B$8,IF(I703&lt;='Characteristics&amp;Parameters'!$B$17,((1-'Characteristics&amp;Parameters'!$B$19)*ConcentrationsCalculations!F703+'Characteristics&amp;Parameters'!$B$19*ConcentrationsCalculations!F702-F703/86400*'Characteristics&amp;Parameters'!$B$11*'Characteristics&amp;Parameters'!$B$12),""))</f>
        <v/>
      </c>
    </row>
    <row r="704" spans="1:10" x14ac:dyDescent="0.5">
      <c r="A704" s="7" t="str">
        <f>IF(A703&lt;'Characteristics&amp;Parameters'!$B$17,ConcentrationsCalculations!A703+1,IF(A703="DS Node","",IF(A703="","","DS Node")))</f>
        <v/>
      </c>
      <c r="B704" s="8" t="str">
        <f>IF(A704&lt;='Characteristics&amp;Parameters'!$B$17,'Characteristics&amp;Parameters'!$B$7,IF(ConcentrationsCalculations!A704="DS Node",'Characteristics&amp;Parameters'!$B$8,""))</f>
        <v/>
      </c>
      <c r="C704" s="8"/>
      <c r="E704" s="7" t="s">
        <v>25</v>
      </c>
      <c r="F704" s="8" t="s">
        <v>25</v>
      </c>
      <c r="I704" s="7" t="str">
        <f>IF(I703&lt;'Characteristics&amp;Parameters'!$B$17,ConcentrationsCalculations!I703+1,IF(I703="DS Node","",IF(I703="","","DS Node")))</f>
        <v/>
      </c>
      <c r="J704" s="13" t="str">
        <f>IF(I704="DS Node",'Characteristics&amp;Parameters'!$B$8,IF(I704&lt;='Characteristics&amp;Parameters'!$B$17,((1-'Characteristics&amp;Parameters'!$B$19)*ConcentrationsCalculations!F704+'Characteristics&amp;Parameters'!$B$19*ConcentrationsCalculations!F703-F704/86400*'Characteristics&amp;Parameters'!$B$11*'Characteristics&amp;Parameters'!$B$12),""))</f>
        <v/>
      </c>
    </row>
    <row r="705" spans="1:10" x14ac:dyDescent="0.5">
      <c r="A705" s="7" t="str">
        <f>IF(A704&lt;'Characteristics&amp;Parameters'!$B$17,ConcentrationsCalculations!A704+1,IF(A704="DS Node","",IF(A704="","","DS Node")))</f>
        <v/>
      </c>
      <c r="B705" s="8" t="str">
        <f>IF(A705&lt;='Characteristics&amp;Parameters'!$B$17,'Characteristics&amp;Parameters'!$B$7,IF(ConcentrationsCalculations!A705="DS Node",'Characteristics&amp;Parameters'!$B$8,""))</f>
        <v/>
      </c>
      <c r="C705" s="8"/>
      <c r="E705" s="7" t="s">
        <v>25</v>
      </c>
      <c r="F705" s="8" t="s">
        <v>25</v>
      </c>
      <c r="I705" s="7" t="str">
        <f>IF(I704&lt;'Characteristics&amp;Parameters'!$B$17,ConcentrationsCalculations!I704+1,IF(I704="DS Node","",IF(I704="","","DS Node")))</f>
        <v/>
      </c>
      <c r="J705" s="13" t="str">
        <f>IF(I705="DS Node",'Characteristics&amp;Parameters'!$B$8,IF(I705&lt;='Characteristics&amp;Parameters'!$B$17,((1-'Characteristics&amp;Parameters'!$B$19)*ConcentrationsCalculations!F705+'Characteristics&amp;Parameters'!$B$19*ConcentrationsCalculations!F704-F705/86400*'Characteristics&amp;Parameters'!$B$11*'Characteristics&amp;Parameters'!$B$12),""))</f>
        <v/>
      </c>
    </row>
    <row r="706" spans="1:10" x14ac:dyDescent="0.5">
      <c r="A706" s="7" t="str">
        <f>IF(A705&lt;'Characteristics&amp;Parameters'!$B$17,ConcentrationsCalculations!A705+1,IF(A705="DS Node","",IF(A705="","","DS Node")))</f>
        <v/>
      </c>
      <c r="B706" s="8" t="str">
        <f>IF(A706&lt;='Characteristics&amp;Parameters'!$B$17,'Characteristics&amp;Parameters'!$B$7,IF(ConcentrationsCalculations!A706="DS Node",'Characteristics&amp;Parameters'!$B$8,""))</f>
        <v/>
      </c>
      <c r="C706" s="8"/>
      <c r="E706" s="7" t="s">
        <v>25</v>
      </c>
      <c r="F706" s="8" t="s">
        <v>25</v>
      </c>
      <c r="I706" s="7" t="str">
        <f>IF(I705&lt;'Characteristics&amp;Parameters'!$B$17,ConcentrationsCalculations!I705+1,IF(I705="DS Node","",IF(I705="","","DS Node")))</f>
        <v/>
      </c>
      <c r="J706" s="13" t="str">
        <f>IF(I706="DS Node",'Characteristics&amp;Parameters'!$B$8,IF(I706&lt;='Characteristics&amp;Parameters'!$B$17,((1-'Characteristics&amp;Parameters'!$B$19)*ConcentrationsCalculations!F706+'Characteristics&amp;Parameters'!$B$19*ConcentrationsCalculations!F705-F706/86400*'Characteristics&amp;Parameters'!$B$11*'Characteristics&amp;Parameters'!$B$12),""))</f>
        <v/>
      </c>
    </row>
    <row r="707" spans="1:10" x14ac:dyDescent="0.5">
      <c r="A707" s="7" t="str">
        <f>IF(A706&lt;'Characteristics&amp;Parameters'!$B$17,ConcentrationsCalculations!A706+1,IF(A706="DS Node","",IF(A706="","","DS Node")))</f>
        <v/>
      </c>
      <c r="B707" s="8" t="str">
        <f>IF(A707&lt;='Characteristics&amp;Parameters'!$B$17,'Characteristics&amp;Parameters'!$B$7,IF(ConcentrationsCalculations!A707="DS Node",'Characteristics&amp;Parameters'!$B$8,""))</f>
        <v/>
      </c>
      <c r="C707" s="8"/>
      <c r="E707" s="7" t="s">
        <v>25</v>
      </c>
      <c r="F707" s="8" t="s">
        <v>25</v>
      </c>
      <c r="I707" s="7" t="str">
        <f>IF(I706&lt;'Characteristics&amp;Parameters'!$B$17,ConcentrationsCalculations!I706+1,IF(I706="DS Node","",IF(I706="","","DS Node")))</f>
        <v/>
      </c>
      <c r="J707" s="13" t="str">
        <f>IF(I707="DS Node",'Characteristics&amp;Parameters'!$B$8,IF(I707&lt;='Characteristics&amp;Parameters'!$B$17,((1-'Characteristics&amp;Parameters'!$B$19)*ConcentrationsCalculations!F707+'Characteristics&amp;Parameters'!$B$19*ConcentrationsCalculations!F706-F707/86400*'Characteristics&amp;Parameters'!$B$11*'Characteristics&amp;Parameters'!$B$12),""))</f>
        <v/>
      </c>
    </row>
    <row r="708" spans="1:10" x14ac:dyDescent="0.5">
      <c r="A708" s="7" t="str">
        <f>IF(A707&lt;'Characteristics&amp;Parameters'!$B$17,ConcentrationsCalculations!A707+1,IF(A707="DS Node","",IF(A707="","","DS Node")))</f>
        <v/>
      </c>
      <c r="B708" s="8" t="str">
        <f>IF(A708&lt;='Characteristics&amp;Parameters'!$B$17,'Characteristics&amp;Parameters'!$B$7,IF(ConcentrationsCalculations!A708="DS Node",'Characteristics&amp;Parameters'!$B$8,""))</f>
        <v/>
      </c>
      <c r="C708" s="8"/>
      <c r="E708" s="7" t="s">
        <v>25</v>
      </c>
      <c r="F708" s="8" t="s">
        <v>25</v>
      </c>
      <c r="I708" s="7" t="str">
        <f>IF(I707&lt;'Characteristics&amp;Parameters'!$B$17,ConcentrationsCalculations!I707+1,IF(I707="DS Node","",IF(I707="","","DS Node")))</f>
        <v/>
      </c>
      <c r="J708" s="13" t="str">
        <f>IF(I708="DS Node",'Characteristics&amp;Parameters'!$B$8,IF(I708&lt;='Characteristics&amp;Parameters'!$B$17,((1-'Characteristics&amp;Parameters'!$B$19)*ConcentrationsCalculations!F708+'Characteristics&amp;Parameters'!$B$19*ConcentrationsCalculations!F707-F708/86400*'Characteristics&amp;Parameters'!$B$11*'Characteristics&amp;Parameters'!$B$12),""))</f>
        <v/>
      </c>
    </row>
    <row r="709" spans="1:10" x14ac:dyDescent="0.5">
      <c r="A709" s="7" t="str">
        <f>IF(A708&lt;'Characteristics&amp;Parameters'!$B$17,ConcentrationsCalculations!A708+1,IF(A708="DS Node","",IF(A708="","","DS Node")))</f>
        <v/>
      </c>
      <c r="B709" s="8" t="str">
        <f>IF(A709&lt;='Characteristics&amp;Parameters'!$B$17,'Characteristics&amp;Parameters'!$B$7,IF(ConcentrationsCalculations!A709="DS Node",'Characteristics&amp;Parameters'!$B$8,""))</f>
        <v/>
      </c>
      <c r="C709" s="8"/>
      <c r="E709" s="7" t="s">
        <v>25</v>
      </c>
      <c r="F709" s="8" t="s">
        <v>25</v>
      </c>
      <c r="I709" s="7" t="str">
        <f>IF(I708&lt;'Characteristics&amp;Parameters'!$B$17,ConcentrationsCalculations!I708+1,IF(I708="DS Node","",IF(I708="","","DS Node")))</f>
        <v/>
      </c>
      <c r="J709" s="13" t="str">
        <f>IF(I709="DS Node",'Characteristics&amp;Parameters'!$B$8,IF(I709&lt;='Characteristics&amp;Parameters'!$B$17,((1-'Characteristics&amp;Parameters'!$B$19)*ConcentrationsCalculations!F709+'Characteristics&amp;Parameters'!$B$19*ConcentrationsCalculations!F708-F709/86400*'Characteristics&amp;Parameters'!$B$11*'Characteristics&amp;Parameters'!$B$12),""))</f>
        <v/>
      </c>
    </row>
    <row r="710" spans="1:10" x14ac:dyDescent="0.5">
      <c r="A710" s="7" t="str">
        <f>IF(A709&lt;'Characteristics&amp;Parameters'!$B$17,ConcentrationsCalculations!A709+1,IF(A709="DS Node","",IF(A709="","","DS Node")))</f>
        <v/>
      </c>
      <c r="B710" s="8" t="str">
        <f>IF(A710&lt;='Characteristics&amp;Parameters'!$B$17,'Characteristics&amp;Parameters'!$B$7,IF(ConcentrationsCalculations!A710="DS Node",'Characteristics&amp;Parameters'!$B$8,""))</f>
        <v/>
      </c>
      <c r="C710" s="8"/>
      <c r="E710" s="7" t="s">
        <v>25</v>
      </c>
      <c r="F710" s="8" t="s">
        <v>25</v>
      </c>
      <c r="I710" s="7" t="str">
        <f>IF(I709&lt;'Characteristics&amp;Parameters'!$B$17,ConcentrationsCalculations!I709+1,IF(I709="DS Node","",IF(I709="","","DS Node")))</f>
        <v/>
      </c>
      <c r="J710" s="13" t="str">
        <f>IF(I710="DS Node",'Characteristics&amp;Parameters'!$B$8,IF(I710&lt;='Characteristics&amp;Parameters'!$B$17,((1-'Characteristics&amp;Parameters'!$B$19)*ConcentrationsCalculations!F710+'Characteristics&amp;Parameters'!$B$19*ConcentrationsCalculations!F709-F710/86400*'Characteristics&amp;Parameters'!$B$11*'Characteristics&amp;Parameters'!$B$12),""))</f>
        <v/>
      </c>
    </row>
    <row r="711" spans="1:10" x14ac:dyDescent="0.5">
      <c r="A711" s="7" t="str">
        <f>IF(A710&lt;'Characteristics&amp;Parameters'!$B$17,ConcentrationsCalculations!A710+1,IF(A710="DS Node","",IF(A710="","","DS Node")))</f>
        <v/>
      </c>
      <c r="B711" s="8" t="str">
        <f>IF(A711&lt;='Characteristics&amp;Parameters'!$B$17,'Characteristics&amp;Parameters'!$B$7,IF(ConcentrationsCalculations!A711="DS Node",'Characteristics&amp;Parameters'!$B$8,""))</f>
        <v/>
      </c>
      <c r="C711" s="8"/>
      <c r="E711" s="7" t="s">
        <v>25</v>
      </c>
      <c r="F711" s="8" t="s">
        <v>25</v>
      </c>
      <c r="I711" s="7" t="str">
        <f>IF(I710&lt;'Characteristics&amp;Parameters'!$B$17,ConcentrationsCalculations!I710+1,IF(I710="DS Node","",IF(I710="","","DS Node")))</f>
        <v/>
      </c>
      <c r="J711" s="13" t="str">
        <f>IF(I711="DS Node",'Characteristics&amp;Parameters'!$B$8,IF(I711&lt;='Characteristics&amp;Parameters'!$B$17,((1-'Characteristics&amp;Parameters'!$B$19)*ConcentrationsCalculations!F711+'Characteristics&amp;Parameters'!$B$19*ConcentrationsCalculations!F710-F711/86400*'Characteristics&amp;Parameters'!$B$11*'Characteristics&amp;Parameters'!$B$12),""))</f>
        <v/>
      </c>
    </row>
    <row r="712" spans="1:10" x14ac:dyDescent="0.5">
      <c r="A712" s="7" t="str">
        <f>IF(A711&lt;'Characteristics&amp;Parameters'!$B$17,ConcentrationsCalculations!A711+1,IF(A711="DS Node","",IF(A711="","","DS Node")))</f>
        <v/>
      </c>
      <c r="B712" s="8" t="str">
        <f>IF(A712&lt;='Characteristics&amp;Parameters'!$B$17,'Characteristics&amp;Parameters'!$B$7,IF(ConcentrationsCalculations!A712="DS Node",'Characteristics&amp;Parameters'!$B$8,""))</f>
        <v/>
      </c>
      <c r="C712" s="8"/>
      <c r="E712" s="7" t="s">
        <v>25</v>
      </c>
      <c r="F712" s="8" t="s">
        <v>25</v>
      </c>
      <c r="I712" s="7" t="str">
        <f>IF(I711&lt;'Characteristics&amp;Parameters'!$B$17,ConcentrationsCalculations!I711+1,IF(I711="DS Node","",IF(I711="","","DS Node")))</f>
        <v/>
      </c>
      <c r="J712" s="13" t="str">
        <f>IF(I712="DS Node",'Characteristics&amp;Parameters'!$B$8,IF(I712&lt;='Characteristics&amp;Parameters'!$B$17,((1-'Characteristics&amp;Parameters'!$B$19)*ConcentrationsCalculations!F712+'Characteristics&amp;Parameters'!$B$19*ConcentrationsCalculations!F711-F712/86400*'Characteristics&amp;Parameters'!$B$11*'Characteristics&amp;Parameters'!$B$12),""))</f>
        <v/>
      </c>
    </row>
    <row r="713" spans="1:10" x14ac:dyDescent="0.5">
      <c r="A713" s="7" t="str">
        <f>IF(A712&lt;'Characteristics&amp;Parameters'!$B$17,ConcentrationsCalculations!A712+1,IF(A712="DS Node","",IF(A712="","","DS Node")))</f>
        <v/>
      </c>
      <c r="B713" s="8" t="str">
        <f>IF(A713&lt;='Characteristics&amp;Parameters'!$B$17,'Characteristics&amp;Parameters'!$B$7,IF(ConcentrationsCalculations!A713="DS Node",'Characteristics&amp;Parameters'!$B$8,""))</f>
        <v/>
      </c>
      <c r="C713" s="8"/>
      <c r="E713" s="7" t="s">
        <v>25</v>
      </c>
      <c r="F713" s="8" t="s">
        <v>25</v>
      </c>
      <c r="I713" s="7" t="str">
        <f>IF(I712&lt;'Characteristics&amp;Parameters'!$B$17,ConcentrationsCalculations!I712+1,IF(I712="DS Node","",IF(I712="","","DS Node")))</f>
        <v/>
      </c>
      <c r="J713" s="13" t="str">
        <f>IF(I713="DS Node",'Characteristics&amp;Parameters'!$B$8,IF(I713&lt;='Characteristics&amp;Parameters'!$B$17,((1-'Characteristics&amp;Parameters'!$B$19)*ConcentrationsCalculations!F713+'Characteristics&amp;Parameters'!$B$19*ConcentrationsCalculations!F712-F713/86400*'Characteristics&amp;Parameters'!$B$11*'Characteristics&amp;Parameters'!$B$12),""))</f>
        <v/>
      </c>
    </row>
    <row r="714" spans="1:10" x14ac:dyDescent="0.5">
      <c r="A714" s="7" t="str">
        <f>IF(A713&lt;'Characteristics&amp;Parameters'!$B$17,ConcentrationsCalculations!A713+1,IF(A713="DS Node","",IF(A713="","","DS Node")))</f>
        <v/>
      </c>
      <c r="B714" s="8" t="str">
        <f>IF(A714&lt;='Characteristics&amp;Parameters'!$B$17,'Characteristics&amp;Parameters'!$B$7,IF(ConcentrationsCalculations!A714="DS Node",'Characteristics&amp;Parameters'!$B$8,""))</f>
        <v/>
      </c>
      <c r="C714" s="8"/>
      <c r="E714" s="7" t="s">
        <v>25</v>
      </c>
      <c r="F714" s="8" t="s">
        <v>25</v>
      </c>
      <c r="I714" s="7" t="str">
        <f>IF(I713&lt;'Characteristics&amp;Parameters'!$B$17,ConcentrationsCalculations!I713+1,IF(I713="DS Node","",IF(I713="","","DS Node")))</f>
        <v/>
      </c>
      <c r="J714" s="13" t="str">
        <f>IF(I714="DS Node",'Characteristics&amp;Parameters'!$B$8,IF(I714&lt;='Characteristics&amp;Parameters'!$B$17,((1-'Characteristics&amp;Parameters'!$B$19)*ConcentrationsCalculations!F714+'Characteristics&amp;Parameters'!$B$19*ConcentrationsCalculations!F713-F714/86400*'Characteristics&amp;Parameters'!$B$11*'Characteristics&amp;Parameters'!$B$12),""))</f>
        <v/>
      </c>
    </row>
    <row r="715" spans="1:10" x14ac:dyDescent="0.5">
      <c r="A715" s="7" t="str">
        <f>IF(A714&lt;'Characteristics&amp;Parameters'!$B$17,ConcentrationsCalculations!A714+1,IF(A714="DS Node","",IF(A714="","","DS Node")))</f>
        <v/>
      </c>
      <c r="B715" s="8" t="str">
        <f>IF(A715&lt;='Characteristics&amp;Parameters'!$B$17,'Characteristics&amp;Parameters'!$B$7,IF(ConcentrationsCalculations!A715="DS Node",'Characteristics&amp;Parameters'!$B$8,""))</f>
        <v/>
      </c>
      <c r="C715" s="8"/>
      <c r="E715" s="7" t="s">
        <v>25</v>
      </c>
      <c r="F715" s="8" t="s">
        <v>25</v>
      </c>
      <c r="I715" s="7" t="str">
        <f>IF(I714&lt;'Characteristics&amp;Parameters'!$B$17,ConcentrationsCalculations!I714+1,IF(I714="DS Node","",IF(I714="","","DS Node")))</f>
        <v/>
      </c>
      <c r="J715" s="13" t="str">
        <f>IF(I715="DS Node",'Characteristics&amp;Parameters'!$B$8,IF(I715&lt;='Characteristics&amp;Parameters'!$B$17,((1-'Characteristics&amp;Parameters'!$B$19)*ConcentrationsCalculations!F715+'Characteristics&amp;Parameters'!$B$19*ConcentrationsCalculations!F714-F715/86400*'Characteristics&amp;Parameters'!$B$11*'Characteristics&amp;Parameters'!$B$12),""))</f>
        <v/>
      </c>
    </row>
    <row r="716" spans="1:10" x14ac:dyDescent="0.5">
      <c r="A716" s="7" t="str">
        <f>IF(A715&lt;'Characteristics&amp;Parameters'!$B$17,ConcentrationsCalculations!A715+1,IF(A715="DS Node","",IF(A715="","","DS Node")))</f>
        <v/>
      </c>
      <c r="B716" s="8" t="str">
        <f>IF(A716&lt;='Characteristics&amp;Parameters'!$B$17,'Characteristics&amp;Parameters'!$B$7,IF(ConcentrationsCalculations!A716="DS Node",'Characteristics&amp;Parameters'!$B$8,""))</f>
        <v/>
      </c>
      <c r="C716" s="8"/>
      <c r="E716" s="7" t="s">
        <v>25</v>
      </c>
      <c r="F716" s="8" t="s">
        <v>25</v>
      </c>
      <c r="I716" s="7" t="str">
        <f>IF(I715&lt;'Characteristics&amp;Parameters'!$B$17,ConcentrationsCalculations!I715+1,IF(I715="DS Node","",IF(I715="","","DS Node")))</f>
        <v/>
      </c>
      <c r="J716" s="13" t="str">
        <f>IF(I716="DS Node",'Characteristics&amp;Parameters'!$B$8,IF(I716&lt;='Characteristics&amp;Parameters'!$B$17,((1-'Characteristics&amp;Parameters'!$B$19)*ConcentrationsCalculations!F716+'Characteristics&amp;Parameters'!$B$19*ConcentrationsCalculations!F715-F716/86400*'Characteristics&amp;Parameters'!$B$11*'Characteristics&amp;Parameters'!$B$12),""))</f>
        <v/>
      </c>
    </row>
    <row r="717" spans="1:10" x14ac:dyDescent="0.5">
      <c r="A717" s="7" t="str">
        <f>IF(A716&lt;'Characteristics&amp;Parameters'!$B$17,ConcentrationsCalculations!A716+1,IF(A716="DS Node","",IF(A716="","","DS Node")))</f>
        <v/>
      </c>
      <c r="B717" s="8" t="str">
        <f>IF(A717&lt;='Characteristics&amp;Parameters'!$B$17,'Characteristics&amp;Parameters'!$B$7,IF(ConcentrationsCalculations!A717="DS Node",'Characteristics&amp;Parameters'!$B$8,""))</f>
        <v/>
      </c>
      <c r="C717" s="8"/>
      <c r="E717" s="7" t="s">
        <v>25</v>
      </c>
      <c r="F717" s="8" t="s">
        <v>25</v>
      </c>
      <c r="I717" s="7" t="str">
        <f>IF(I716&lt;'Characteristics&amp;Parameters'!$B$17,ConcentrationsCalculations!I716+1,IF(I716="DS Node","",IF(I716="","","DS Node")))</f>
        <v/>
      </c>
      <c r="J717" s="13" t="str">
        <f>IF(I717="DS Node",'Characteristics&amp;Parameters'!$B$8,IF(I717&lt;='Characteristics&amp;Parameters'!$B$17,((1-'Characteristics&amp;Parameters'!$B$19)*ConcentrationsCalculations!F717+'Characteristics&amp;Parameters'!$B$19*ConcentrationsCalculations!F716-F717/86400*'Characteristics&amp;Parameters'!$B$11*'Characteristics&amp;Parameters'!$B$12),""))</f>
        <v/>
      </c>
    </row>
    <row r="718" spans="1:10" x14ac:dyDescent="0.5">
      <c r="A718" s="7" t="str">
        <f>IF(A717&lt;'Characteristics&amp;Parameters'!$B$17,ConcentrationsCalculations!A717+1,IF(A717="DS Node","",IF(A717="","","DS Node")))</f>
        <v/>
      </c>
      <c r="B718" s="8" t="str">
        <f>IF(A718&lt;='Characteristics&amp;Parameters'!$B$17,'Characteristics&amp;Parameters'!$B$7,IF(ConcentrationsCalculations!A718="DS Node",'Characteristics&amp;Parameters'!$B$8,""))</f>
        <v/>
      </c>
      <c r="C718" s="8"/>
      <c r="E718" s="7" t="s">
        <v>25</v>
      </c>
      <c r="F718" s="8" t="s">
        <v>25</v>
      </c>
      <c r="I718" s="7" t="str">
        <f>IF(I717&lt;'Characteristics&amp;Parameters'!$B$17,ConcentrationsCalculations!I717+1,IF(I717="DS Node","",IF(I717="","","DS Node")))</f>
        <v/>
      </c>
      <c r="J718" s="13" t="str">
        <f>IF(I718="DS Node",'Characteristics&amp;Parameters'!$B$8,IF(I718&lt;='Characteristics&amp;Parameters'!$B$17,((1-'Characteristics&amp;Parameters'!$B$19)*ConcentrationsCalculations!F718+'Characteristics&amp;Parameters'!$B$19*ConcentrationsCalculations!F717-F718/86400*'Characteristics&amp;Parameters'!$B$11*'Characteristics&amp;Parameters'!$B$12),""))</f>
        <v/>
      </c>
    </row>
    <row r="719" spans="1:10" x14ac:dyDescent="0.5">
      <c r="A719" s="7" t="str">
        <f>IF(A718&lt;'Characteristics&amp;Parameters'!$B$17,ConcentrationsCalculations!A718+1,IF(A718="DS Node","",IF(A718="","","DS Node")))</f>
        <v/>
      </c>
      <c r="B719" s="8" t="str">
        <f>IF(A719&lt;='Characteristics&amp;Parameters'!$B$17,'Characteristics&amp;Parameters'!$B$7,IF(ConcentrationsCalculations!A719="DS Node",'Characteristics&amp;Parameters'!$B$8,""))</f>
        <v/>
      </c>
      <c r="C719" s="8"/>
      <c r="E719" s="7" t="s">
        <v>25</v>
      </c>
      <c r="F719" s="8" t="s">
        <v>25</v>
      </c>
      <c r="I719" s="7" t="str">
        <f>IF(I718&lt;'Characteristics&amp;Parameters'!$B$17,ConcentrationsCalculations!I718+1,IF(I718="DS Node","",IF(I718="","","DS Node")))</f>
        <v/>
      </c>
      <c r="J719" s="13" t="str">
        <f>IF(I719="DS Node",'Characteristics&amp;Parameters'!$B$8,IF(I719&lt;='Characteristics&amp;Parameters'!$B$17,((1-'Characteristics&amp;Parameters'!$B$19)*ConcentrationsCalculations!F719+'Characteristics&amp;Parameters'!$B$19*ConcentrationsCalculations!F718-F719/86400*'Characteristics&amp;Parameters'!$B$11*'Characteristics&amp;Parameters'!$B$12),""))</f>
        <v/>
      </c>
    </row>
    <row r="720" spans="1:10" x14ac:dyDescent="0.5">
      <c r="A720" s="7" t="str">
        <f>IF(A719&lt;'Characteristics&amp;Parameters'!$B$17,ConcentrationsCalculations!A719+1,IF(A719="DS Node","",IF(A719="","","DS Node")))</f>
        <v/>
      </c>
      <c r="B720" s="8" t="str">
        <f>IF(A720&lt;='Characteristics&amp;Parameters'!$B$17,'Characteristics&amp;Parameters'!$B$7,IF(ConcentrationsCalculations!A720="DS Node",'Characteristics&amp;Parameters'!$B$8,""))</f>
        <v/>
      </c>
      <c r="C720" s="8"/>
      <c r="E720" s="7" t="s">
        <v>25</v>
      </c>
      <c r="F720" s="8" t="s">
        <v>25</v>
      </c>
      <c r="I720" s="7" t="str">
        <f>IF(I719&lt;'Characteristics&amp;Parameters'!$B$17,ConcentrationsCalculations!I719+1,IF(I719="DS Node","",IF(I719="","","DS Node")))</f>
        <v/>
      </c>
      <c r="J720" s="13" t="str">
        <f>IF(I720="DS Node",'Characteristics&amp;Parameters'!$B$8,IF(I720&lt;='Characteristics&amp;Parameters'!$B$17,((1-'Characteristics&amp;Parameters'!$B$19)*ConcentrationsCalculations!F720+'Characteristics&amp;Parameters'!$B$19*ConcentrationsCalculations!F719-F720/86400*'Characteristics&amp;Parameters'!$B$11*'Characteristics&amp;Parameters'!$B$12),""))</f>
        <v/>
      </c>
    </row>
    <row r="721" spans="1:10" x14ac:dyDescent="0.5">
      <c r="A721" s="7" t="str">
        <f>IF(A720&lt;'Characteristics&amp;Parameters'!$B$17,ConcentrationsCalculations!A720+1,IF(A720="DS Node","",IF(A720="","","DS Node")))</f>
        <v/>
      </c>
      <c r="B721" s="8" t="str">
        <f>IF(A721&lt;='Characteristics&amp;Parameters'!$B$17,'Characteristics&amp;Parameters'!$B$7,IF(ConcentrationsCalculations!A721="DS Node",'Characteristics&amp;Parameters'!$B$8,""))</f>
        <v/>
      </c>
      <c r="C721" s="8"/>
      <c r="E721" s="7" t="s">
        <v>25</v>
      </c>
      <c r="F721" s="8" t="s">
        <v>25</v>
      </c>
      <c r="I721" s="7" t="str">
        <f>IF(I720&lt;'Characteristics&amp;Parameters'!$B$17,ConcentrationsCalculations!I720+1,IF(I720="DS Node","",IF(I720="","","DS Node")))</f>
        <v/>
      </c>
      <c r="J721" s="13" t="str">
        <f>IF(I721="DS Node",'Characteristics&amp;Parameters'!$B$8,IF(I721&lt;='Characteristics&amp;Parameters'!$B$17,((1-'Characteristics&amp;Parameters'!$B$19)*ConcentrationsCalculations!F721+'Characteristics&amp;Parameters'!$B$19*ConcentrationsCalculations!F720-F721/86400*'Characteristics&amp;Parameters'!$B$11*'Characteristics&amp;Parameters'!$B$12),""))</f>
        <v/>
      </c>
    </row>
    <row r="722" spans="1:10" x14ac:dyDescent="0.5">
      <c r="A722" s="7" t="str">
        <f>IF(A721&lt;'Characteristics&amp;Parameters'!$B$17,ConcentrationsCalculations!A721+1,IF(A721="DS Node","",IF(A721="","","DS Node")))</f>
        <v/>
      </c>
      <c r="B722" s="8" t="str">
        <f>IF(A722&lt;='Characteristics&amp;Parameters'!$B$17,'Characteristics&amp;Parameters'!$B$7,IF(ConcentrationsCalculations!A722="DS Node",'Characteristics&amp;Parameters'!$B$8,""))</f>
        <v/>
      </c>
      <c r="C722" s="8"/>
      <c r="E722" s="7" t="s">
        <v>25</v>
      </c>
      <c r="F722" s="8" t="s">
        <v>25</v>
      </c>
      <c r="I722" s="7" t="str">
        <f>IF(I721&lt;'Characteristics&amp;Parameters'!$B$17,ConcentrationsCalculations!I721+1,IF(I721="DS Node","",IF(I721="","","DS Node")))</f>
        <v/>
      </c>
      <c r="J722" s="13" t="str">
        <f>IF(I722="DS Node",'Characteristics&amp;Parameters'!$B$8,IF(I722&lt;='Characteristics&amp;Parameters'!$B$17,((1-'Characteristics&amp;Parameters'!$B$19)*ConcentrationsCalculations!F722+'Characteristics&amp;Parameters'!$B$19*ConcentrationsCalculations!F721-F722/86400*'Characteristics&amp;Parameters'!$B$11*'Characteristics&amp;Parameters'!$B$12),""))</f>
        <v/>
      </c>
    </row>
    <row r="723" spans="1:10" x14ac:dyDescent="0.5">
      <c r="A723" s="7" t="str">
        <f>IF(A722&lt;'Characteristics&amp;Parameters'!$B$17,ConcentrationsCalculations!A722+1,IF(A722="DS Node","",IF(A722="","","DS Node")))</f>
        <v/>
      </c>
      <c r="B723" s="8" t="str">
        <f>IF(A723&lt;='Characteristics&amp;Parameters'!$B$17,'Characteristics&amp;Parameters'!$B$7,IF(ConcentrationsCalculations!A723="DS Node",'Characteristics&amp;Parameters'!$B$8,""))</f>
        <v/>
      </c>
      <c r="C723" s="8"/>
      <c r="E723" s="7" t="s">
        <v>25</v>
      </c>
      <c r="F723" s="8" t="s">
        <v>25</v>
      </c>
      <c r="I723" s="7" t="str">
        <f>IF(I722&lt;'Characteristics&amp;Parameters'!$B$17,ConcentrationsCalculations!I722+1,IF(I722="DS Node","",IF(I722="","","DS Node")))</f>
        <v/>
      </c>
      <c r="J723" s="13" t="str">
        <f>IF(I723="DS Node",'Characteristics&amp;Parameters'!$B$8,IF(I723&lt;='Characteristics&amp;Parameters'!$B$17,((1-'Characteristics&amp;Parameters'!$B$19)*ConcentrationsCalculations!F723+'Characteristics&amp;Parameters'!$B$19*ConcentrationsCalculations!F722-F723/86400*'Characteristics&amp;Parameters'!$B$11*'Characteristics&amp;Parameters'!$B$12),""))</f>
        <v/>
      </c>
    </row>
    <row r="724" spans="1:10" x14ac:dyDescent="0.5">
      <c r="A724" s="7" t="str">
        <f>IF(A723&lt;'Characteristics&amp;Parameters'!$B$17,ConcentrationsCalculations!A723+1,IF(A723="DS Node","",IF(A723="","","DS Node")))</f>
        <v/>
      </c>
      <c r="B724" s="8" t="str">
        <f>IF(A724&lt;='Characteristics&amp;Parameters'!$B$17,'Characteristics&amp;Parameters'!$B$7,IF(ConcentrationsCalculations!A724="DS Node",'Characteristics&amp;Parameters'!$B$8,""))</f>
        <v/>
      </c>
      <c r="C724" s="8"/>
      <c r="E724" s="7" t="s">
        <v>25</v>
      </c>
      <c r="F724" s="8" t="s">
        <v>25</v>
      </c>
      <c r="I724" s="7" t="str">
        <f>IF(I723&lt;'Characteristics&amp;Parameters'!$B$17,ConcentrationsCalculations!I723+1,IF(I723="DS Node","",IF(I723="","","DS Node")))</f>
        <v/>
      </c>
      <c r="J724" s="13" t="str">
        <f>IF(I724="DS Node",'Characteristics&amp;Parameters'!$B$8,IF(I724&lt;='Characteristics&amp;Parameters'!$B$17,((1-'Characteristics&amp;Parameters'!$B$19)*ConcentrationsCalculations!F724+'Characteristics&amp;Parameters'!$B$19*ConcentrationsCalculations!F723-F724/86400*'Characteristics&amp;Parameters'!$B$11*'Characteristics&amp;Parameters'!$B$12),""))</f>
        <v/>
      </c>
    </row>
    <row r="725" spans="1:10" x14ac:dyDescent="0.5">
      <c r="A725" s="7" t="str">
        <f>IF(A724&lt;'Characteristics&amp;Parameters'!$B$17,ConcentrationsCalculations!A724+1,IF(A724="DS Node","",IF(A724="","","DS Node")))</f>
        <v/>
      </c>
      <c r="B725" s="8" t="str">
        <f>IF(A725&lt;='Characteristics&amp;Parameters'!$B$17,'Characteristics&amp;Parameters'!$B$7,IF(ConcentrationsCalculations!A725="DS Node",'Characteristics&amp;Parameters'!$B$8,""))</f>
        <v/>
      </c>
      <c r="C725" s="8"/>
      <c r="E725" s="7" t="s">
        <v>25</v>
      </c>
      <c r="F725" s="8" t="s">
        <v>25</v>
      </c>
      <c r="I725" s="7" t="str">
        <f>IF(I724&lt;'Characteristics&amp;Parameters'!$B$17,ConcentrationsCalculations!I724+1,IF(I724="DS Node","",IF(I724="","","DS Node")))</f>
        <v/>
      </c>
      <c r="J725" s="13" t="str">
        <f>IF(I725="DS Node",'Characteristics&amp;Parameters'!$B$8,IF(I725&lt;='Characteristics&amp;Parameters'!$B$17,((1-'Characteristics&amp;Parameters'!$B$19)*ConcentrationsCalculations!F725+'Characteristics&amp;Parameters'!$B$19*ConcentrationsCalculations!F724-F725/86400*'Characteristics&amp;Parameters'!$B$11*'Characteristics&amp;Parameters'!$B$12),""))</f>
        <v/>
      </c>
    </row>
    <row r="726" spans="1:10" x14ac:dyDescent="0.5">
      <c r="A726" s="7" t="str">
        <f>IF(A725&lt;'Characteristics&amp;Parameters'!$B$17,ConcentrationsCalculations!A725+1,IF(A725="DS Node","",IF(A725="","","DS Node")))</f>
        <v/>
      </c>
      <c r="B726" s="8" t="str">
        <f>IF(A726&lt;='Characteristics&amp;Parameters'!$B$17,'Characteristics&amp;Parameters'!$B$7,IF(ConcentrationsCalculations!A726="DS Node",'Characteristics&amp;Parameters'!$B$8,""))</f>
        <v/>
      </c>
      <c r="C726" s="8"/>
      <c r="E726" s="7" t="s">
        <v>25</v>
      </c>
      <c r="F726" s="8" t="s">
        <v>25</v>
      </c>
      <c r="I726" s="7" t="str">
        <f>IF(I725&lt;'Characteristics&amp;Parameters'!$B$17,ConcentrationsCalculations!I725+1,IF(I725="DS Node","",IF(I725="","","DS Node")))</f>
        <v/>
      </c>
      <c r="J726" s="13" t="str">
        <f>IF(I726="DS Node",'Characteristics&amp;Parameters'!$B$8,IF(I726&lt;='Characteristics&amp;Parameters'!$B$17,((1-'Characteristics&amp;Parameters'!$B$19)*ConcentrationsCalculations!F726+'Characteristics&amp;Parameters'!$B$19*ConcentrationsCalculations!F725-F726/86400*'Characteristics&amp;Parameters'!$B$11*'Characteristics&amp;Parameters'!$B$12),""))</f>
        <v/>
      </c>
    </row>
    <row r="727" spans="1:10" x14ac:dyDescent="0.5">
      <c r="A727" s="7" t="str">
        <f>IF(A726&lt;'Characteristics&amp;Parameters'!$B$17,ConcentrationsCalculations!A726+1,IF(A726="DS Node","",IF(A726="","","DS Node")))</f>
        <v/>
      </c>
      <c r="B727" s="8" t="str">
        <f>IF(A727&lt;='Characteristics&amp;Parameters'!$B$17,'Characteristics&amp;Parameters'!$B$7,IF(ConcentrationsCalculations!A727="DS Node",'Characteristics&amp;Parameters'!$B$8,""))</f>
        <v/>
      </c>
      <c r="C727" s="8"/>
      <c r="E727" s="7" t="s">
        <v>25</v>
      </c>
      <c r="F727" s="8" t="s">
        <v>25</v>
      </c>
      <c r="I727" s="7" t="str">
        <f>IF(I726&lt;'Characteristics&amp;Parameters'!$B$17,ConcentrationsCalculations!I726+1,IF(I726="DS Node","",IF(I726="","","DS Node")))</f>
        <v/>
      </c>
      <c r="J727" s="13" t="str">
        <f>IF(I727="DS Node",'Characteristics&amp;Parameters'!$B$8,IF(I727&lt;='Characteristics&amp;Parameters'!$B$17,((1-'Characteristics&amp;Parameters'!$B$19)*ConcentrationsCalculations!F727+'Characteristics&amp;Parameters'!$B$19*ConcentrationsCalculations!F726-F727/86400*'Characteristics&amp;Parameters'!$B$11*'Characteristics&amp;Parameters'!$B$12),""))</f>
        <v/>
      </c>
    </row>
    <row r="728" spans="1:10" x14ac:dyDescent="0.5">
      <c r="A728" s="7" t="str">
        <f>IF(A727&lt;'Characteristics&amp;Parameters'!$B$17,ConcentrationsCalculations!A727+1,IF(A727="DS Node","",IF(A727="","","DS Node")))</f>
        <v/>
      </c>
      <c r="B728" s="8" t="str">
        <f>IF(A728&lt;='Characteristics&amp;Parameters'!$B$17,'Characteristics&amp;Parameters'!$B$7,IF(ConcentrationsCalculations!A728="DS Node",'Characteristics&amp;Parameters'!$B$8,""))</f>
        <v/>
      </c>
      <c r="C728" s="8"/>
      <c r="E728" s="7" t="s">
        <v>25</v>
      </c>
      <c r="F728" s="8" t="s">
        <v>25</v>
      </c>
      <c r="I728" s="7" t="str">
        <f>IF(I727&lt;'Characteristics&amp;Parameters'!$B$17,ConcentrationsCalculations!I727+1,IF(I727="DS Node","",IF(I727="","","DS Node")))</f>
        <v/>
      </c>
      <c r="J728" s="13" t="str">
        <f>IF(I728="DS Node",'Characteristics&amp;Parameters'!$B$8,IF(I728&lt;='Characteristics&amp;Parameters'!$B$17,((1-'Characteristics&amp;Parameters'!$B$19)*ConcentrationsCalculations!F728+'Characteristics&amp;Parameters'!$B$19*ConcentrationsCalculations!F727-F728/86400*'Characteristics&amp;Parameters'!$B$11*'Characteristics&amp;Parameters'!$B$12),""))</f>
        <v/>
      </c>
    </row>
    <row r="729" spans="1:10" x14ac:dyDescent="0.5">
      <c r="A729" s="7" t="str">
        <f>IF(A728&lt;'Characteristics&amp;Parameters'!$B$17,ConcentrationsCalculations!A728+1,IF(A728="DS Node","",IF(A728="","","DS Node")))</f>
        <v/>
      </c>
      <c r="B729" s="8" t="str">
        <f>IF(A729&lt;='Characteristics&amp;Parameters'!$B$17,'Characteristics&amp;Parameters'!$B$7,IF(ConcentrationsCalculations!A729="DS Node",'Characteristics&amp;Parameters'!$B$8,""))</f>
        <v/>
      </c>
      <c r="C729" s="8"/>
      <c r="E729" s="7" t="s">
        <v>25</v>
      </c>
      <c r="F729" s="8" t="s">
        <v>25</v>
      </c>
      <c r="I729" s="7" t="str">
        <f>IF(I728&lt;'Characteristics&amp;Parameters'!$B$17,ConcentrationsCalculations!I728+1,IF(I728="DS Node","",IF(I728="","","DS Node")))</f>
        <v/>
      </c>
      <c r="J729" s="13" t="str">
        <f>IF(I729="DS Node",'Characteristics&amp;Parameters'!$B$8,IF(I729&lt;='Characteristics&amp;Parameters'!$B$17,((1-'Characteristics&amp;Parameters'!$B$19)*ConcentrationsCalculations!F729+'Characteristics&amp;Parameters'!$B$19*ConcentrationsCalculations!F728-F729/86400*'Characteristics&amp;Parameters'!$B$11*'Characteristics&amp;Parameters'!$B$12),""))</f>
        <v/>
      </c>
    </row>
    <row r="730" spans="1:10" x14ac:dyDescent="0.5">
      <c r="A730" s="7" t="str">
        <f>IF(A729&lt;'Characteristics&amp;Parameters'!$B$17,ConcentrationsCalculations!A729+1,IF(A729="DS Node","",IF(A729="","","DS Node")))</f>
        <v/>
      </c>
      <c r="B730" s="8" t="str">
        <f>IF(A730&lt;='Characteristics&amp;Parameters'!$B$17,'Characteristics&amp;Parameters'!$B$7,IF(ConcentrationsCalculations!A730="DS Node",'Characteristics&amp;Parameters'!$B$8,""))</f>
        <v/>
      </c>
      <c r="C730" s="8"/>
      <c r="E730" s="7" t="s">
        <v>25</v>
      </c>
      <c r="F730" s="8" t="s">
        <v>25</v>
      </c>
      <c r="I730" s="7" t="str">
        <f>IF(I729&lt;'Characteristics&amp;Parameters'!$B$17,ConcentrationsCalculations!I729+1,IF(I729="DS Node","",IF(I729="","","DS Node")))</f>
        <v/>
      </c>
      <c r="J730" s="13" t="str">
        <f>IF(I730="DS Node",'Characteristics&amp;Parameters'!$B$8,IF(I730&lt;='Characteristics&amp;Parameters'!$B$17,((1-'Characteristics&amp;Parameters'!$B$19)*ConcentrationsCalculations!F730+'Characteristics&amp;Parameters'!$B$19*ConcentrationsCalculations!F729-F730/86400*'Characteristics&amp;Parameters'!$B$11*'Characteristics&amp;Parameters'!$B$12),""))</f>
        <v/>
      </c>
    </row>
    <row r="731" spans="1:10" x14ac:dyDescent="0.5">
      <c r="A731" s="7" t="str">
        <f>IF(A730&lt;'Characteristics&amp;Parameters'!$B$17,ConcentrationsCalculations!A730+1,IF(A730="DS Node","",IF(A730="","","DS Node")))</f>
        <v/>
      </c>
      <c r="B731" s="8" t="str">
        <f>IF(A731&lt;='Characteristics&amp;Parameters'!$B$17,'Characteristics&amp;Parameters'!$B$7,IF(ConcentrationsCalculations!A731="DS Node",'Characteristics&amp;Parameters'!$B$8,""))</f>
        <v/>
      </c>
      <c r="C731" s="8"/>
      <c r="E731" s="7" t="s">
        <v>25</v>
      </c>
      <c r="F731" s="8" t="s">
        <v>25</v>
      </c>
      <c r="I731" s="7" t="str">
        <f>IF(I730&lt;'Characteristics&amp;Parameters'!$B$17,ConcentrationsCalculations!I730+1,IF(I730="DS Node","",IF(I730="","","DS Node")))</f>
        <v/>
      </c>
      <c r="J731" s="13" t="str">
        <f>IF(I731="DS Node",'Characteristics&amp;Parameters'!$B$8,IF(I731&lt;='Characteristics&amp;Parameters'!$B$17,((1-'Characteristics&amp;Parameters'!$B$19)*ConcentrationsCalculations!F731+'Characteristics&amp;Parameters'!$B$19*ConcentrationsCalculations!F730-F731/86400*'Characteristics&amp;Parameters'!$B$11*'Characteristics&amp;Parameters'!$B$12),""))</f>
        <v/>
      </c>
    </row>
    <row r="732" spans="1:10" x14ac:dyDescent="0.5">
      <c r="A732" s="7" t="str">
        <f>IF(A731&lt;'Characteristics&amp;Parameters'!$B$17,ConcentrationsCalculations!A731+1,IF(A731="DS Node","",IF(A731="","","DS Node")))</f>
        <v/>
      </c>
      <c r="B732" s="8" t="str">
        <f>IF(A732&lt;='Characteristics&amp;Parameters'!$B$17,'Characteristics&amp;Parameters'!$B$7,IF(ConcentrationsCalculations!A732="DS Node",'Characteristics&amp;Parameters'!$B$8,""))</f>
        <v/>
      </c>
      <c r="C732" s="8"/>
      <c r="E732" s="7" t="s">
        <v>25</v>
      </c>
      <c r="F732" s="8" t="s">
        <v>25</v>
      </c>
      <c r="I732" s="7" t="str">
        <f>IF(I731&lt;'Characteristics&amp;Parameters'!$B$17,ConcentrationsCalculations!I731+1,IF(I731="DS Node","",IF(I731="","","DS Node")))</f>
        <v/>
      </c>
      <c r="J732" s="13" t="str">
        <f>IF(I732="DS Node",'Characteristics&amp;Parameters'!$B$8,IF(I732&lt;='Characteristics&amp;Parameters'!$B$17,((1-'Characteristics&amp;Parameters'!$B$19)*ConcentrationsCalculations!F732+'Characteristics&amp;Parameters'!$B$19*ConcentrationsCalculations!F731-F732/86400*'Characteristics&amp;Parameters'!$B$11*'Characteristics&amp;Parameters'!$B$12),""))</f>
        <v/>
      </c>
    </row>
    <row r="733" spans="1:10" x14ac:dyDescent="0.5">
      <c r="A733" s="7" t="str">
        <f>IF(A732&lt;'Characteristics&amp;Parameters'!$B$17,ConcentrationsCalculations!A732+1,IF(A732="DS Node","",IF(A732="","","DS Node")))</f>
        <v/>
      </c>
      <c r="B733" s="8" t="str">
        <f>IF(A733&lt;='Characteristics&amp;Parameters'!$B$17,'Characteristics&amp;Parameters'!$B$7,IF(ConcentrationsCalculations!A733="DS Node",'Characteristics&amp;Parameters'!$B$8,""))</f>
        <v/>
      </c>
      <c r="C733" s="8"/>
      <c r="E733" s="7" t="s">
        <v>25</v>
      </c>
      <c r="F733" s="8" t="s">
        <v>25</v>
      </c>
      <c r="I733" s="7" t="str">
        <f>IF(I732&lt;'Characteristics&amp;Parameters'!$B$17,ConcentrationsCalculations!I732+1,IF(I732="DS Node","",IF(I732="","","DS Node")))</f>
        <v/>
      </c>
      <c r="J733" s="13" t="str">
        <f>IF(I733="DS Node",'Characteristics&amp;Parameters'!$B$8,IF(I733&lt;='Characteristics&amp;Parameters'!$B$17,((1-'Characteristics&amp;Parameters'!$B$19)*ConcentrationsCalculations!F733+'Characteristics&amp;Parameters'!$B$19*ConcentrationsCalculations!F732-F733/86400*'Characteristics&amp;Parameters'!$B$11*'Characteristics&amp;Parameters'!$B$12),""))</f>
        <v/>
      </c>
    </row>
    <row r="734" spans="1:10" x14ac:dyDescent="0.5">
      <c r="A734" s="7" t="str">
        <f>IF(A733&lt;'Characteristics&amp;Parameters'!$B$17,ConcentrationsCalculations!A733+1,IF(A733="DS Node","",IF(A733="","","DS Node")))</f>
        <v/>
      </c>
      <c r="B734" s="8" t="str">
        <f>IF(A734&lt;='Characteristics&amp;Parameters'!$B$17,'Characteristics&amp;Parameters'!$B$7,IF(ConcentrationsCalculations!A734="DS Node",'Characteristics&amp;Parameters'!$B$8,""))</f>
        <v/>
      </c>
      <c r="C734" s="8"/>
      <c r="E734" s="7" t="s">
        <v>25</v>
      </c>
      <c r="F734" s="8" t="s">
        <v>25</v>
      </c>
      <c r="I734" s="7" t="str">
        <f>IF(I733&lt;'Characteristics&amp;Parameters'!$B$17,ConcentrationsCalculations!I733+1,IF(I733="DS Node","",IF(I733="","","DS Node")))</f>
        <v/>
      </c>
      <c r="J734" s="13" t="str">
        <f>IF(I734="DS Node",'Characteristics&amp;Parameters'!$B$8,IF(I734&lt;='Characteristics&amp;Parameters'!$B$17,((1-'Characteristics&amp;Parameters'!$B$19)*ConcentrationsCalculations!F734+'Characteristics&amp;Parameters'!$B$19*ConcentrationsCalculations!F733-F734/86400*'Characteristics&amp;Parameters'!$B$11*'Characteristics&amp;Parameters'!$B$12),""))</f>
        <v/>
      </c>
    </row>
    <row r="735" spans="1:10" x14ac:dyDescent="0.5">
      <c r="A735" s="7" t="str">
        <f>IF(A734&lt;'Characteristics&amp;Parameters'!$B$17,ConcentrationsCalculations!A734+1,IF(A734="DS Node","",IF(A734="","","DS Node")))</f>
        <v/>
      </c>
      <c r="B735" s="8" t="str">
        <f>IF(A735&lt;='Characteristics&amp;Parameters'!$B$17,'Characteristics&amp;Parameters'!$B$7,IF(ConcentrationsCalculations!A735="DS Node",'Characteristics&amp;Parameters'!$B$8,""))</f>
        <v/>
      </c>
      <c r="C735" s="8"/>
      <c r="E735" s="7" t="s">
        <v>25</v>
      </c>
      <c r="F735" s="8" t="s">
        <v>25</v>
      </c>
      <c r="I735" s="7" t="str">
        <f>IF(I734&lt;'Characteristics&amp;Parameters'!$B$17,ConcentrationsCalculations!I734+1,IF(I734="DS Node","",IF(I734="","","DS Node")))</f>
        <v/>
      </c>
      <c r="J735" s="13" t="str">
        <f>IF(I735="DS Node",'Characteristics&amp;Parameters'!$B$8,IF(I735&lt;='Characteristics&amp;Parameters'!$B$17,((1-'Characteristics&amp;Parameters'!$B$19)*ConcentrationsCalculations!F735+'Characteristics&amp;Parameters'!$B$19*ConcentrationsCalculations!F734-F735/86400*'Characteristics&amp;Parameters'!$B$11*'Characteristics&amp;Parameters'!$B$12),""))</f>
        <v/>
      </c>
    </row>
    <row r="736" spans="1:10" x14ac:dyDescent="0.5">
      <c r="A736" s="7" t="str">
        <f>IF(A735&lt;'Characteristics&amp;Parameters'!$B$17,ConcentrationsCalculations!A735+1,IF(A735="DS Node","",IF(A735="","","DS Node")))</f>
        <v/>
      </c>
      <c r="B736" s="8" t="str">
        <f>IF(A736&lt;='Characteristics&amp;Parameters'!$B$17,'Characteristics&amp;Parameters'!$B$7,IF(ConcentrationsCalculations!A736="DS Node",'Characteristics&amp;Parameters'!$B$8,""))</f>
        <v/>
      </c>
      <c r="C736" s="8"/>
      <c r="E736" s="7" t="s">
        <v>25</v>
      </c>
      <c r="F736" s="8" t="s">
        <v>25</v>
      </c>
      <c r="I736" s="7" t="str">
        <f>IF(I735&lt;'Characteristics&amp;Parameters'!$B$17,ConcentrationsCalculations!I735+1,IF(I735="DS Node","",IF(I735="","","DS Node")))</f>
        <v/>
      </c>
      <c r="J736" s="13" t="str">
        <f>IF(I736="DS Node",'Characteristics&amp;Parameters'!$B$8,IF(I736&lt;='Characteristics&amp;Parameters'!$B$17,((1-'Characteristics&amp;Parameters'!$B$19)*ConcentrationsCalculations!F736+'Characteristics&amp;Parameters'!$B$19*ConcentrationsCalculations!F735-F736/86400*'Characteristics&amp;Parameters'!$B$11*'Characteristics&amp;Parameters'!$B$12),""))</f>
        <v/>
      </c>
    </row>
    <row r="737" spans="1:10" x14ac:dyDescent="0.5">
      <c r="A737" s="7" t="str">
        <f>IF(A736&lt;'Characteristics&amp;Parameters'!$B$17,ConcentrationsCalculations!A736+1,IF(A736="DS Node","",IF(A736="","","DS Node")))</f>
        <v/>
      </c>
      <c r="B737" s="8" t="str">
        <f>IF(A737&lt;='Characteristics&amp;Parameters'!$B$17,'Characteristics&amp;Parameters'!$B$7,IF(ConcentrationsCalculations!A737="DS Node",'Characteristics&amp;Parameters'!$B$8,""))</f>
        <v/>
      </c>
      <c r="C737" s="8"/>
      <c r="E737" s="7" t="s">
        <v>25</v>
      </c>
      <c r="F737" s="8" t="s">
        <v>25</v>
      </c>
      <c r="I737" s="7" t="str">
        <f>IF(I736&lt;'Characteristics&amp;Parameters'!$B$17,ConcentrationsCalculations!I736+1,IF(I736="DS Node","",IF(I736="","","DS Node")))</f>
        <v/>
      </c>
      <c r="J737" s="13" t="str">
        <f>IF(I737="DS Node",'Characteristics&amp;Parameters'!$B$8,IF(I737&lt;='Characteristics&amp;Parameters'!$B$17,((1-'Characteristics&amp;Parameters'!$B$19)*ConcentrationsCalculations!F737+'Characteristics&amp;Parameters'!$B$19*ConcentrationsCalculations!F736-F737/86400*'Characteristics&amp;Parameters'!$B$11*'Characteristics&amp;Parameters'!$B$12),""))</f>
        <v/>
      </c>
    </row>
    <row r="738" spans="1:10" x14ac:dyDescent="0.5">
      <c r="A738" s="7" t="str">
        <f>IF(A737&lt;'Characteristics&amp;Parameters'!$B$17,ConcentrationsCalculations!A737+1,IF(A737="DS Node","",IF(A737="","","DS Node")))</f>
        <v/>
      </c>
      <c r="B738" s="8" t="str">
        <f>IF(A738&lt;='Characteristics&amp;Parameters'!$B$17,'Characteristics&amp;Parameters'!$B$7,IF(ConcentrationsCalculations!A738="DS Node",'Characteristics&amp;Parameters'!$B$8,""))</f>
        <v/>
      </c>
      <c r="C738" s="8"/>
      <c r="E738" s="7" t="s">
        <v>25</v>
      </c>
      <c r="F738" s="8" t="s">
        <v>25</v>
      </c>
      <c r="I738" s="7" t="str">
        <f>IF(I737&lt;'Characteristics&amp;Parameters'!$B$17,ConcentrationsCalculations!I737+1,IF(I737="DS Node","",IF(I737="","","DS Node")))</f>
        <v/>
      </c>
      <c r="J738" s="13" t="str">
        <f>IF(I738="DS Node",'Characteristics&amp;Parameters'!$B$8,IF(I738&lt;='Characteristics&amp;Parameters'!$B$17,((1-'Characteristics&amp;Parameters'!$B$19)*ConcentrationsCalculations!F738+'Characteristics&amp;Parameters'!$B$19*ConcentrationsCalculations!F737-F738/86400*'Characteristics&amp;Parameters'!$B$11*'Characteristics&amp;Parameters'!$B$12),""))</f>
        <v/>
      </c>
    </row>
    <row r="739" spans="1:10" x14ac:dyDescent="0.5">
      <c r="A739" s="7" t="str">
        <f>IF(A738&lt;'Characteristics&amp;Parameters'!$B$17,ConcentrationsCalculations!A738+1,IF(A738="DS Node","",IF(A738="","","DS Node")))</f>
        <v/>
      </c>
      <c r="B739" s="8" t="str">
        <f>IF(A739&lt;='Characteristics&amp;Parameters'!$B$17,'Characteristics&amp;Parameters'!$B$7,IF(ConcentrationsCalculations!A739="DS Node",'Characteristics&amp;Parameters'!$B$8,""))</f>
        <v/>
      </c>
      <c r="C739" s="8"/>
      <c r="E739" s="7" t="s">
        <v>25</v>
      </c>
      <c r="F739" s="8" t="s">
        <v>25</v>
      </c>
      <c r="I739" s="7" t="str">
        <f>IF(I738&lt;'Characteristics&amp;Parameters'!$B$17,ConcentrationsCalculations!I738+1,IF(I738="DS Node","",IF(I738="","","DS Node")))</f>
        <v/>
      </c>
      <c r="J739" s="13" t="str">
        <f>IF(I739="DS Node",'Characteristics&amp;Parameters'!$B$8,IF(I739&lt;='Characteristics&amp;Parameters'!$B$17,((1-'Characteristics&amp;Parameters'!$B$19)*ConcentrationsCalculations!F739+'Characteristics&amp;Parameters'!$B$19*ConcentrationsCalculations!F738-F739/86400*'Characteristics&amp;Parameters'!$B$11*'Characteristics&amp;Parameters'!$B$12),""))</f>
        <v/>
      </c>
    </row>
    <row r="740" spans="1:10" x14ac:dyDescent="0.5">
      <c r="A740" s="7" t="str">
        <f>IF(A739&lt;'Characteristics&amp;Parameters'!$B$17,ConcentrationsCalculations!A739+1,IF(A739="DS Node","",IF(A739="","","DS Node")))</f>
        <v/>
      </c>
      <c r="B740" s="8" t="str">
        <f>IF(A740&lt;='Characteristics&amp;Parameters'!$B$17,'Characteristics&amp;Parameters'!$B$7,IF(ConcentrationsCalculations!A740="DS Node",'Characteristics&amp;Parameters'!$B$8,""))</f>
        <v/>
      </c>
      <c r="C740" s="8"/>
      <c r="E740" s="7" t="s">
        <v>25</v>
      </c>
      <c r="F740" s="8" t="s">
        <v>25</v>
      </c>
      <c r="I740" s="7" t="str">
        <f>IF(I739&lt;'Characteristics&amp;Parameters'!$B$17,ConcentrationsCalculations!I739+1,IF(I739="DS Node","",IF(I739="","","DS Node")))</f>
        <v/>
      </c>
      <c r="J740" s="13" t="str">
        <f>IF(I740="DS Node",'Characteristics&amp;Parameters'!$B$8,IF(I740&lt;='Characteristics&amp;Parameters'!$B$17,((1-'Characteristics&amp;Parameters'!$B$19)*ConcentrationsCalculations!F740+'Characteristics&amp;Parameters'!$B$19*ConcentrationsCalculations!F739-F740/86400*'Characteristics&amp;Parameters'!$B$11*'Characteristics&amp;Parameters'!$B$12),""))</f>
        <v/>
      </c>
    </row>
    <row r="741" spans="1:10" x14ac:dyDescent="0.5">
      <c r="A741" s="7" t="str">
        <f>IF(A740&lt;'Characteristics&amp;Parameters'!$B$17,ConcentrationsCalculations!A740+1,IF(A740="DS Node","",IF(A740="","","DS Node")))</f>
        <v/>
      </c>
      <c r="B741" s="8" t="str">
        <f>IF(A741&lt;='Characteristics&amp;Parameters'!$B$17,'Characteristics&amp;Parameters'!$B$7,IF(ConcentrationsCalculations!A741="DS Node",'Characteristics&amp;Parameters'!$B$8,""))</f>
        <v/>
      </c>
      <c r="C741" s="8"/>
      <c r="E741" s="7" t="s">
        <v>25</v>
      </c>
      <c r="F741" s="8" t="s">
        <v>25</v>
      </c>
      <c r="I741" s="7" t="str">
        <f>IF(I740&lt;'Characteristics&amp;Parameters'!$B$17,ConcentrationsCalculations!I740+1,IF(I740="DS Node","",IF(I740="","","DS Node")))</f>
        <v/>
      </c>
      <c r="J741" s="13" t="str">
        <f>IF(I741="DS Node",'Characteristics&amp;Parameters'!$B$8,IF(I741&lt;='Characteristics&amp;Parameters'!$B$17,((1-'Characteristics&amp;Parameters'!$B$19)*ConcentrationsCalculations!F741+'Characteristics&amp;Parameters'!$B$19*ConcentrationsCalculations!F740-F741/86400*'Characteristics&amp;Parameters'!$B$11*'Characteristics&amp;Parameters'!$B$12),""))</f>
        <v/>
      </c>
    </row>
    <row r="742" spans="1:10" x14ac:dyDescent="0.5">
      <c r="A742" s="7" t="str">
        <f>IF(A741&lt;'Characteristics&amp;Parameters'!$B$17,ConcentrationsCalculations!A741+1,IF(A741="DS Node","",IF(A741="","","DS Node")))</f>
        <v/>
      </c>
      <c r="B742" s="8" t="str">
        <f>IF(A742&lt;='Characteristics&amp;Parameters'!$B$17,'Characteristics&amp;Parameters'!$B$7,IF(ConcentrationsCalculations!A742="DS Node",'Characteristics&amp;Parameters'!$B$8,""))</f>
        <v/>
      </c>
      <c r="C742" s="8"/>
      <c r="E742" s="7" t="s">
        <v>25</v>
      </c>
      <c r="F742" s="8" t="s">
        <v>25</v>
      </c>
      <c r="I742" s="7" t="str">
        <f>IF(I741&lt;'Characteristics&amp;Parameters'!$B$17,ConcentrationsCalculations!I741+1,IF(I741="DS Node","",IF(I741="","","DS Node")))</f>
        <v/>
      </c>
      <c r="J742" s="13" t="str">
        <f>IF(I742="DS Node",'Characteristics&amp;Parameters'!$B$8,IF(I742&lt;='Characteristics&amp;Parameters'!$B$17,((1-'Characteristics&amp;Parameters'!$B$19)*ConcentrationsCalculations!F742+'Characteristics&amp;Parameters'!$B$19*ConcentrationsCalculations!F741-F742/86400*'Characteristics&amp;Parameters'!$B$11*'Characteristics&amp;Parameters'!$B$12),""))</f>
        <v/>
      </c>
    </row>
    <row r="743" spans="1:10" x14ac:dyDescent="0.5">
      <c r="A743" s="7" t="str">
        <f>IF(A742&lt;'Characteristics&amp;Parameters'!$B$17,ConcentrationsCalculations!A742+1,IF(A742="DS Node","",IF(A742="","","DS Node")))</f>
        <v/>
      </c>
      <c r="B743" s="8" t="str">
        <f>IF(A743&lt;='Characteristics&amp;Parameters'!$B$17,'Characteristics&amp;Parameters'!$B$7,IF(ConcentrationsCalculations!A743="DS Node",'Characteristics&amp;Parameters'!$B$8,""))</f>
        <v/>
      </c>
      <c r="C743" s="8"/>
      <c r="E743" s="7" t="s">
        <v>25</v>
      </c>
      <c r="F743" s="8" t="s">
        <v>25</v>
      </c>
      <c r="I743" s="7" t="str">
        <f>IF(I742&lt;'Characteristics&amp;Parameters'!$B$17,ConcentrationsCalculations!I742+1,IF(I742="DS Node","",IF(I742="","","DS Node")))</f>
        <v/>
      </c>
      <c r="J743" s="13" t="str">
        <f>IF(I743="DS Node",'Characteristics&amp;Parameters'!$B$8,IF(I743&lt;='Characteristics&amp;Parameters'!$B$17,((1-'Characteristics&amp;Parameters'!$B$19)*ConcentrationsCalculations!F743+'Characteristics&amp;Parameters'!$B$19*ConcentrationsCalculations!F742-F743/86400*'Characteristics&amp;Parameters'!$B$11*'Characteristics&amp;Parameters'!$B$12),""))</f>
        <v/>
      </c>
    </row>
    <row r="744" spans="1:10" x14ac:dyDescent="0.5">
      <c r="A744" s="7" t="str">
        <f>IF(A743&lt;'Characteristics&amp;Parameters'!$B$17,ConcentrationsCalculations!A743+1,IF(A743="DS Node","",IF(A743="","","DS Node")))</f>
        <v/>
      </c>
      <c r="B744" s="8" t="str">
        <f>IF(A744&lt;='Characteristics&amp;Parameters'!$B$17,'Characteristics&amp;Parameters'!$B$7,IF(ConcentrationsCalculations!A744="DS Node",'Characteristics&amp;Parameters'!$B$8,""))</f>
        <v/>
      </c>
      <c r="C744" s="8"/>
      <c r="E744" s="7" t="s">
        <v>25</v>
      </c>
      <c r="F744" s="8" t="s">
        <v>25</v>
      </c>
      <c r="I744" s="7" t="str">
        <f>IF(I743&lt;'Characteristics&amp;Parameters'!$B$17,ConcentrationsCalculations!I743+1,IF(I743="DS Node","",IF(I743="","","DS Node")))</f>
        <v/>
      </c>
      <c r="J744" s="13" t="str">
        <f>IF(I744="DS Node",'Characteristics&amp;Parameters'!$B$8,IF(I744&lt;='Characteristics&amp;Parameters'!$B$17,((1-'Characteristics&amp;Parameters'!$B$19)*ConcentrationsCalculations!F744+'Characteristics&amp;Parameters'!$B$19*ConcentrationsCalculations!F743-F744/86400*'Characteristics&amp;Parameters'!$B$11*'Characteristics&amp;Parameters'!$B$12),""))</f>
        <v/>
      </c>
    </row>
    <row r="745" spans="1:10" x14ac:dyDescent="0.5">
      <c r="A745" s="7" t="str">
        <f>IF(A744&lt;'Characteristics&amp;Parameters'!$B$17,ConcentrationsCalculations!A744+1,IF(A744="DS Node","",IF(A744="","","DS Node")))</f>
        <v/>
      </c>
      <c r="B745" s="8" t="str">
        <f>IF(A745&lt;='Characteristics&amp;Parameters'!$B$17,'Characteristics&amp;Parameters'!$B$7,IF(ConcentrationsCalculations!A745="DS Node",'Characteristics&amp;Parameters'!$B$8,""))</f>
        <v/>
      </c>
      <c r="C745" s="8"/>
      <c r="E745" s="7" t="s">
        <v>25</v>
      </c>
      <c r="F745" s="8" t="s">
        <v>25</v>
      </c>
      <c r="I745" s="7" t="str">
        <f>IF(I744&lt;'Characteristics&amp;Parameters'!$B$17,ConcentrationsCalculations!I744+1,IF(I744="DS Node","",IF(I744="","","DS Node")))</f>
        <v/>
      </c>
      <c r="J745" s="13" t="str">
        <f>IF(I745="DS Node",'Characteristics&amp;Parameters'!$B$8,IF(I745&lt;='Characteristics&amp;Parameters'!$B$17,((1-'Characteristics&amp;Parameters'!$B$19)*ConcentrationsCalculations!F745+'Characteristics&amp;Parameters'!$B$19*ConcentrationsCalculations!F744-F745/86400*'Characteristics&amp;Parameters'!$B$11*'Characteristics&amp;Parameters'!$B$12),""))</f>
        <v/>
      </c>
    </row>
    <row r="746" spans="1:10" x14ac:dyDescent="0.5">
      <c r="A746" s="7" t="str">
        <f>IF(A745&lt;'Characteristics&amp;Parameters'!$B$17,ConcentrationsCalculations!A745+1,IF(A745="DS Node","",IF(A745="","","DS Node")))</f>
        <v/>
      </c>
      <c r="B746" s="8" t="str">
        <f>IF(A746&lt;='Characteristics&amp;Parameters'!$B$17,'Characteristics&amp;Parameters'!$B$7,IF(ConcentrationsCalculations!A746="DS Node",'Characteristics&amp;Parameters'!$B$8,""))</f>
        <v/>
      </c>
      <c r="C746" s="8"/>
      <c r="E746" s="7" t="s">
        <v>25</v>
      </c>
      <c r="F746" s="8" t="s">
        <v>25</v>
      </c>
      <c r="I746" s="7" t="str">
        <f>IF(I745&lt;'Characteristics&amp;Parameters'!$B$17,ConcentrationsCalculations!I745+1,IF(I745="DS Node","",IF(I745="","","DS Node")))</f>
        <v/>
      </c>
      <c r="J746" s="13" t="str">
        <f>IF(I746="DS Node",'Characteristics&amp;Parameters'!$B$8,IF(I746&lt;='Characteristics&amp;Parameters'!$B$17,((1-'Characteristics&amp;Parameters'!$B$19)*ConcentrationsCalculations!F746+'Characteristics&amp;Parameters'!$B$19*ConcentrationsCalculations!F745-F746/86400*'Characteristics&amp;Parameters'!$B$11*'Characteristics&amp;Parameters'!$B$12),""))</f>
        <v/>
      </c>
    </row>
    <row r="747" spans="1:10" x14ac:dyDescent="0.5">
      <c r="A747" s="7" t="str">
        <f>IF(A746&lt;'Characteristics&amp;Parameters'!$B$17,ConcentrationsCalculations!A746+1,IF(A746="DS Node","",IF(A746="","","DS Node")))</f>
        <v/>
      </c>
      <c r="B747" s="8" t="str">
        <f>IF(A747&lt;='Characteristics&amp;Parameters'!$B$17,'Characteristics&amp;Parameters'!$B$7,IF(ConcentrationsCalculations!A747="DS Node",'Characteristics&amp;Parameters'!$B$8,""))</f>
        <v/>
      </c>
      <c r="C747" s="8"/>
      <c r="E747" s="7" t="s">
        <v>25</v>
      </c>
      <c r="F747" s="8" t="s">
        <v>25</v>
      </c>
      <c r="I747" s="7" t="str">
        <f>IF(I746&lt;'Characteristics&amp;Parameters'!$B$17,ConcentrationsCalculations!I746+1,IF(I746="DS Node","",IF(I746="","","DS Node")))</f>
        <v/>
      </c>
      <c r="J747" s="13" t="str">
        <f>IF(I747="DS Node",'Characteristics&amp;Parameters'!$B$8,IF(I747&lt;='Characteristics&amp;Parameters'!$B$17,((1-'Characteristics&amp;Parameters'!$B$19)*ConcentrationsCalculations!F747+'Characteristics&amp;Parameters'!$B$19*ConcentrationsCalculations!F746-F747/86400*'Characteristics&amp;Parameters'!$B$11*'Characteristics&amp;Parameters'!$B$12),""))</f>
        <v/>
      </c>
    </row>
    <row r="748" spans="1:10" x14ac:dyDescent="0.5">
      <c r="A748" s="7" t="str">
        <f>IF(A747&lt;'Characteristics&amp;Parameters'!$B$17,ConcentrationsCalculations!A747+1,IF(A747="DS Node","",IF(A747="","","DS Node")))</f>
        <v/>
      </c>
      <c r="B748" s="8" t="str">
        <f>IF(A748&lt;='Characteristics&amp;Parameters'!$B$17,'Characteristics&amp;Parameters'!$B$7,IF(ConcentrationsCalculations!A748="DS Node",'Characteristics&amp;Parameters'!$B$8,""))</f>
        <v/>
      </c>
      <c r="C748" s="8"/>
      <c r="E748" s="7" t="s">
        <v>25</v>
      </c>
      <c r="F748" s="8" t="s">
        <v>25</v>
      </c>
      <c r="I748" s="7" t="str">
        <f>IF(I747&lt;'Characteristics&amp;Parameters'!$B$17,ConcentrationsCalculations!I747+1,IF(I747="DS Node","",IF(I747="","","DS Node")))</f>
        <v/>
      </c>
      <c r="J748" s="13" t="str">
        <f>IF(I748="DS Node",'Characteristics&amp;Parameters'!$B$8,IF(I748&lt;='Characteristics&amp;Parameters'!$B$17,((1-'Characteristics&amp;Parameters'!$B$19)*ConcentrationsCalculations!F748+'Characteristics&amp;Parameters'!$B$19*ConcentrationsCalculations!F747-F748/86400*'Characteristics&amp;Parameters'!$B$11*'Characteristics&amp;Parameters'!$B$12),""))</f>
        <v/>
      </c>
    </row>
    <row r="749" spans="1:10" x14ac:dyDescent="0.5">
      <c r="A749" s="7" t="str">
        <f>IF(A748&lt;'Characteristics&amp;Parameters'!$B$17,ConcentrationsCalculations!A748+1,IF(A748="DS Node","",IF(A748="","","DS Node")))</f>
        <v/>
      </c>
      <c r="B749" s="8" t="str">
        <f>IF(A749&lt;='Characteristics&amp;Parameters'!$B$17,'Characteristics&amp;Parameters'!$B$7,IF(ConcentrationsCalculations!A749="DS Node",'Characteristics&amp;Parameters'!$B$8,""))</f>
        <v/>
      </c>
      <c r="C749" s="8"/>
      <c r="E749" s="7" t="s">
        <v>25</v>
      </c>
      <c r="F749" s="8" t="s">
        <v>25</v>
      </c>
      <c r="I749" s="7" t="str">
        <f>IF(I748&lt;'Characteristics&amp;Parameters'!$B$17,ConcentrationsCalculations!I748+1,IF(I748="DS Node","",IF(I748="","","DS Node")))</f>
        <v/>
      </c>
      <c r="J749" s="13" t="str">
        <f>IF(I749="DS Node",'Characteristics&amp;Parameters'!$B$8,IF(I749&lt;='Characteristics&amp;Parameters'!$B$17,((1-'Characteristics&amp;Parameters'!$B$19)*ConcentrationsCalculations!F749+'Characteristics&amp;Parameters'!$B$19*ConcentrationsCalculations!F748-F749/86400*'Characteristics&amp;Parameters'!$B$11*'Characteristics&amp;Parameters'!$B$12),""))</f>
        <v/>
      </c>
    </row>
    <row r="750" spans="1:10" x14ac:dyDescent="0.5">
      <c r="A750" s="7" t="str">
        <f>IF(A749&lt;'Characteristics&amp;Parameters'!$B$17,ConcentrationsCalculations!A749+1,IF(A749="DS Node","",IF(A749="","","DS Node")))</f>
        <v/>
      </c>
      <c r="B750" s="8" t="str">
        <f>IF(A750&lt;='Characteristics&amp;Parameters'!$B$17,'Characteristics&amp;Parameters'!$B$7,IF(ConcentrationsCalculations!A750="DS Node",'Characteristics&amp;Parameters'!$B$8,""))</f>
        <v/>
      </c>
      <c r="C750" s="8"/>
      <c r="E750" s="7" t="s">
        <v>25</v>
      </c>
      <c r="F750" s="8" t="s">
        <v>25</v>
      </c>
      <c r="I750" s="7" t="str">
        <f>IF(I749&lt;'Characteristics&amp;Parameters'!$B$17,ConcentrationsCalculations!I749+1,IF(I749="DS Node","",IF(I749="","","DS Node")))</f>
        <v/>
      </c>
      <c r="J750" s="13" t="str">
        <f>IF(I750="DS Node",'Characteristics&amp;Parameters'!$B$8,IF(I750&lt;='Characteristics&amp;Parameters'!$B$17,((1-'Characteristics&amp;Parameters'!$B$19)*ConcentrationsCalculations!F750+'Characteristics&amp;Parameters'!$B$19*ConcentrationsCalculations!F749-F750/86400*'Characteristics&amp;Parameters'!$B$11*'Characteristics&amp;Parameters'!$B$12),""))</f>
        <v/>
      </c>
    </row>
    <row r="751" spans="1:10" x14ac:dyDescent="0.5">
      <c r="A751" s="7" t="str">
        <f>IF(A750&lt;'Characteristics&amp;Parameters'!$B$17,ConcentrationsCalculations!A750+1,IF(A750="DS Node","",IF(A750="","","DS Node")))</f>
        <v/>
      </c>
      <c r="B751" s="8" t="str">
        <f>IF(A751&lt;='Characteristics&amp;Parameters'!$B$17,'Characteristics&amp;Parameters'!$B$7,IF(ConcentrationsCalculations!A751="DS Node",'Characteristics&amp;Parameters'!$B$8,""))</f>
        <v/>
      </c>
      <c r="C751" s="8"/>
      <c r="E751" s="7" t="s">
        <v>25</v>
      </c>
      <c r="F751" s="8" t="s">
        <v>25</v>
      </c>
      <c r="I751" s="7" t="str">
        <f>IF(I750&lt;'Characteristics&amp;Parameters'!$B$17,ConcentrationsCalculations!I750+1,IF(I750="DS Node","",IF(I750="","","DS Node")))</f>
        <v/>
      </c>
      <c r="J751" s="13" t="str">
        <f>IF(I751="DS Node",'Characteristics&amp;Parameters'!$B$8,IF(I751&lt;='Characteristics&amp;Parameters'!$B$17,((1-'Characteristics&amp;Parameters'!$B$19)*ConcentrationsCalculations!F751+'Characteristics&amp;Parameters'!$B$19*ConcentrationsCalculations!F750-F751/86400*'Characteristics&amp;Parameters'!$B$11*'Characteristics&amp;Parameters'!$B$12),""))</f>
        <v/>
      </c>
    </row>
    <row r="752" spans="1:10" x14ac:dyDescent="0.5">
      <c r="A752" s="7" t="str">
        <f>IF(A751&lt;'Characteristics&amp;Parameters'!$B$17,ConcentrationsCalculations!A751+1,IF(A751="DS Node","",IF(A751="","","DS Node")))</f>
        <v/>
      </c>
      <c r="B752" s="8" t="str">
        <f>IF(A752&lt;='Characteristics&amp;Parameters'!$B$17,'Characteristics&amp;Parameters'!$B$7,IF(ConcentrationsCalculations!A752="DS Node",'Characteristics&amp;Parameters'!$B$8,""))</f>
        <v/>
      </c>
      <c r="C752" s="8"/>
      <c r="E752" s="7" t="s">
        <v>25</v>
      </c>
      <c r="F752" s="8" t="s">
        <v>25</v>
      </c>
      <c r="I752" s="7" t="str">
        <f>IF(I751&lt;'Characteristics&amp;Parameters'!$B$17,ConcentrationsCalculations!I751+1,IF(I751="DS Node","",IF(I751="","","DS Node")))</f>
        <v/>
      </c>
      <c r="J752" s="13" t="str">
        <f>IF(I752="DS Node",'Characteristics&amp;Parameters'!$B$8,IF(I752&lt;='Characteristics&amp;Parameters'!$B$17,((1-'Characteristics&amp;Parameters'!$B$19)*ConcentrationsCalculations!F752+'Characteristics&amp;Parameters'!$B$19*ConcentrationsCalculations!F751-F752/86400*'Characteristics&amp;Parameters'!$B$11*'Characteristics&amp;Parameters'!$B$12),""))</f>
        <v/>
      </c>
    </row>
    <row r="753" spans="1:10" x14ac:dyDescent="0.5">
      <c r="A753" s="7" t="str">
        <f>IF(A752&lt;'Characteristics&amp;Parameters'!$B$17,ConcentrationsCalculations!A752+1,IF(A752="DS Node","",IF(A752="","","DS Node")))</f>
        <v/>
      </c>
      <c r="B753" s="8" t="str">
        <f>IF(A753&lt;='Characteristics&amp;Parameters'!$B$17,'Characteristics&amp;Parameters'!$B$7,IF(ConcentrationsCalculations!A753="DS Node",'Characteristics&amp;Parameters'!$B$8,""))</f>
        <v/>
      </c>
      <c r="C753" s="8"/>
      <c r="E753" s="7" t="s">
        <v>25</v>
      </c>
      <c r="F753" s="8" t="s">
        <v>25</v>
      </c>
      <c r="I753" s="7" t="str">
        <f>IF(I752&lt;'Characteristics&amp;Parameters'!$B$17,ConcentrationsCalculations!I752+1,IF(I752="DS Node","",IF(I752="","","DS Node")))</f>
        <v/>
      </c>
      <c r="J753" s="13" t="str">
        <f>IF(I753="DS Node",'Characteristics&amp;Parameters'!$B$8,IF(I753&lt;='Characteristics&amp;Parameters'!$B$17,((1-'Characteristics&amp;Parameters'!$B$19)*ConcentrationsCalculations!F753+'Characteristics&amp;Parameters'!$B$19*ConcentrationsCalculations!F752-F753/86400*'Characteristics&amp;Parameters'!$B$11*'Characteristics&amp;Parameters'!$B$12),""))</f>
        <v/>
      </c>
    </row>
    <row r="754" spans="1:10" x14ac:dyDescent="0.5">
      <c r="A754" s="7" t="str">
        <f>IF(A753&lt;'Characteristics&amp;Parameters'!$B$17,ConcentrationsCalculations!A753+1,IF(A753="DS Node","",IF(A753="","","DS Node")))</f>
        <v/>
      </c>
      <c r="B754" s="8" t="str">
        <f>IF(A754&lt;='Characteristics&amp;Parameters'!$B$17,'Characteristics&amp;Parameters'!$B$7,IF(ConcentrationsCalculations!A754="DS Node",'Characteristics&amp;Parameters'!$B$8,""))</f>
        <v/>
      </c>
      <c r="C754" s="8"/>
      <c r="E754" s="7" t="s">
        <v>25</v>
      </c>
      <c r="F754" s="8" t="s">
        <v>25</v>
      </c>
      <c r="I754" s="7" t="str">
        <f>IF(I753&lt;'Characteristics&amp;Parameters'!$B$17,ConcentrationsCalculations!I753+1,IF(I753="DS Node","",IF(I753="","","DS Node")))</f>
        <v/>
      </c>
      <c r="J754" s="13" t="str">
        <f>IF(I754="DS Node",'Characteristics&amp;Parameters'!$B$8,IF(I754&lt;='Characteristics&amp;Parameters'!$B$17,((1-'Characteristics&amp;Parameters'!$B$19)*ConcentrationsCalculations!F754+'Characteristics&amp;Parameters'!$B$19*ConcentrationsCalculations!F753-F754/86400*'Characteristics&amp;Parameters'!$B$11*'Characteristics&amp;Parameters'!$B$12),""))</f>
        <v/>
      </c>
    </row>
    <row r="755" spans="1:10" x14ac:dyDescent="0.5">
      <c r="A755" s="7" t="str">
        <f>IF(A754&lt;'Characteristics&amp;Parameters'!$B$17,ConcentrationsCalculations!A754+1,IF(A754="DS Node","",IF(A754="","","DS Node")))</f>
        <v/>
      </c>
      <c r="B755" s="8" t="str">
        <f>IF(A755&lt;='Characteristics&amp;Parameters'!$B$17,'Characteristics&amp;Parameters'!$B$7,IF(ConcentrationsCalculations!A755="DS Node",'Characteristics&amp;Parameters'!$B$8,""))</f>
        <v/>
      </c>
      <c r="C755" s="8"/>
      <c r="E755" s="7" t="s">
        <v>25</v>
      </c>
      <c r="F755" s="8" t="s">
        <v>25</v>
      </c>
      <c r="I755" s="7" t="str">
        <f>IF(I754&lt;'Characteristics&amp;Parameters'!$B$17,ConcentrationsCalculations!I754+1,IF(I754="DS Node","",IF(I754="","","DS Node")))</f>
        <v/>
      </c>
      <c r="J755" s="13" t="str">
        <f>IF(I755="DS Node",'Characteristics&amp;Parameters'!$B$8,IF(I755&lt;='Characteristics&amp;Parameters'!$B$17,((1-'Characteristics&amp;Parameters'!$B$19)*ConcentrationsCalculations!F755+'Characteristics&amp;Parameters'!$B$19*ConcentrationsCalculations!F754-F755/86400*'Characteristics&amp;Parameters'!$B$11*'Characteristics&amp;Parameters'!$B$12),""))</f>
        <v/>
      </c>
    </row>
    <row r="756" spans="1:10" x14ac:dyDescent="0.5">
      <c r="A756" s="7" t="str">
        <f>IF(A755&lt;'Characteristics&amp;Parameters'!$B$17,ConcentrationsCalculations!A755+1,IF(A755="DS Node","",IF(A755="","","DS Node")))</f>
        <v/>
      </c>
      <c r="B756" s="8" t="str">
        <f>IF(A756&lt;='Characteristics&amp;Parameters'!$B$17,'Characteristics&amp;Parameters'!$B$7,IF(ConcentrationsCalculations!A756="DS Node",'Characteristics&amp;Parameters'!$B$8,""))</f>
        <v/>
      </c>
      <c r="C756" s="8"/>
      <c r="E756" s="7" t="s">
        <v>25</v>
      </c>
      <c r="F756" s="8" t="s">
        <v>25</v>
      </c>
      <c r="I756" s="7" t="str">
        <f>IF(I755&lt;'Characteristics&amp;Parameters'!$B$17,ConcentrationsCalculations!I755+1,IF(I755="DS Node","",IF(I755="","","DS Node")))</f>
        <v/>
      </c>
      <c r="J756" s="13" t="str">
        <f>IF(I756="DS Node",'Characteristics&amp;Parameters'!$B$8,IF(I756&lt;='Characteristics&amp;Parameters'!$B$17,((1-'Characteristics&amp;Parameters'!$B$19)*ConcentrationsCalculations!F756+'Characteristics&amp;Parameters'!$B$19*ConcentrationsCalculations!F755-F756/86400*'Characteristics&amp;Parameters'!$B$11*'Characteristics&amp;Parameters'!$B$12),""))</f>
        <v/>
      </c>
    </row>
    <row r="757" spans="1:10" x14ac:dyDescent="0.5">
      <c r="A757" s="7" t="str">
        <f>IF(A756&lt;'Characteristics&amp;Parameters'!$B$17,ConcentrationsCalculations!A756+1,IF(A756="DS Node","",IF(A756="","","DS Node")))</f>
        <v/>
      </c>
      <c r="B757" s="8" t="str">
        <f>IF(A757&lt;='Characteristics&amp;Parameters'!$B$17,'Characteristics&amp;Parameters'!$B$7,IF(ConcentrationsCalculations!A757="DS Node",'Characteristics&amp;Parameters'!$B$8,""))</f>
        <v/>
      </c>
      <c r="C757" s="8"/>
      <c r="E757" s="7" t="s">
        <v>25</v>
      </c>
      <c r="F757" s="8" t="s">
        <v>25</v>
      </c>
      <c r="I757" s="7" t="str">
        <f>IF(I756&lt;'Characteristics&amp;Parameters'!$B$17,ConcentrationsCalculations!I756+1,IF(I756="DS Node","",IF(I756="","","DS Node")))</f>
        <v/>
      </c>
      <c r="J757" s="13" t="str">
        <f>IF(I757="DS Node",'Characteristics&amp;Parameters'!$B$8,IF(I757&lt;='Characteristics&amp;Parameters'!$B$17,((1-'Characteristics&amp;Parameters'!$B$19)*ConcentrationsCalculations!F757+'Characteristics&amp;Parameters'!$B$19*ConcentrationsCalculations!F756-F757/86400*'Characteristics&amp;Parameters'!$B$11*'Characteristics&amp;Parameters'!$B$12),""))</f>
        <v/>
      </c>
    </row>
    <row r="758" spans="1:10" x14ac:dyDescent="0.5">
      <c r="A758" s="7" t="str">
        <f>IF(A757&lt;'Characteristics&amp;Parameters'!$B$17,ConcentrationsCalculations!A757+1,IF(A757="DS Node","",IF(A757="","","DS Node")))</f>
        <v/>
      </c>
      <c r="B758" s="8" t="str">
        <f>IF(A758&lt;='Characteristics&amp;Parameters'!$B$17,'Characteristics&amp;Parameters'!$B$7,IF(ConcentrationsCalculations!A758="DS Node",'Characteristics&amp;Parameters'!$B$8,""))</f>
        <v/>
      </c>
      <c r="C758" s="8"/>
      <c r="E758" s="7" t="s">
        <v>25</v>
      </c>
      <c r="F758" s="8" t="s">
        <v>25</v>
      </c>
      <c r="I758" s="7" t="str">
        <f>IF(I757&lt;'Characteristics&amp;Parameters'!$B$17,ConcentrationsCalculations!I757+1,IF(I757="DS Node","",IF(I757="","","DS Node")))</f>
        <v/>
      </c>
      <c r="J758" s="13" t="str">
        <f>IF(I758="DS Node",'Characteristics&amp;Parameters'!$B$8,IF(I758&lt;='Characteristics&amp;Parameters'!$B$17,((1-'Characteristics&amp;Parameters'!$B$19)*ConcentrationsCalculations!F758+'Characteristics&amp;Parameters'!$B$19*ConcentrationsCalculations!F757-F758/86400*'Characteristics&amp;Parameters'!$B$11*'Characteristics&amp;Parameters'!$B$12),""))</f>
        <v/>
      </c>
    </row>
    <row r="759" spans="1:10" x14ac:dyDescent="0.5">
      <c r="A759" s="7" t="str">
        <f>IF(A758&lt;'Characteristics&amp;Parameters'!$B$17,ConcentrationsCalculations!A758+1,IF(A758="DS Node","",IF(A758="","","DS Node")))</f>
        <v/>
      </c>
      <c r="B759" s="8" t="str">
        <f>IF(A759&lt;='Characteristics&amp;Parameters'!$B$17,'Characteristics&amp;Parameters'!$B$7,IF(ConcentrationsCalculations!A759="DS Node",'Characteristics&amp;Parameters'!$B$8,""))</f>
        <v/>
      </c>
      <c r="C759" s="8"/>
      <c r="E759" s="7" t="s">
        <v>25</v>
      </c>
      <c r="F759" s="8" t="s">
        <v>25</v>
      </c>
      <c r="I759" s="7" t="str">
        <f>IF(I758&lt;'Characteristics&amp;Parameters'!$B$17,ConcentrationsCalculations!I758+1,IF(I758="DS Node","",IF(I758="","","DS Node")))</f>
        <v/>
      </c>
      <c r="J759" s="13" t="str">
        <f>IF(I759="DS Node",'Characteristics&amp;Parameters'!$B$8,IF(I759&lt;='Characteristics&amp;Parameters'!$B$17,((1-'Characteristics&amp;Parameters'!$B$19)*ConcentrationsCalculations!F759+'Characteristics&amp;Parameters'!$B$19*ConcentrationsCalculations!F758-F759/86400*'Characteristics&amp;Parameters'!$B$11*'Characteristics&amp;Parameters'!$B$12),""))</f>
        <v/>
      </c>
    </row>
    <row r="760" spans="1:10" x14ac:dyDescent="0.5">
      <c r="A760" s="7" t="str">
        <f>IF(A759&lt;'Characteristics&amp;Parameters'!$B$17,ConcentrationsCalculations!A759+1,IF(A759="DS Node","",IF(A759="","","DS Node")))</f>
        <v/>
      </c>
      <c r="B760" s="8" t="str">
        <f>IF(A760&lt;='Characteristics&amp;Parameters'!$B$17,'Characteristics&amp;Parameters'!$B$7,IF(ConcentrationsCalculations!A760="DS Node",'Characteristics&amp;Parameters'!$B$8,""))</f>
        <v/>
      </c>
      <c r="C760" s="8"/>
      <c r="E760" s="7" t="s">
        <v>25</v>
      </c>
      <c r="F760" s="8" t="s">
        <v>25</v>
      </c>
      <c r="I760" s="7" t="str">
        <f>IF(I759&lt;'Characteristics&amp;Parameters'!$B$17,ConcentrationsCalculations!I759+1,IF(I759="DS Node","",IF(I759="","","DS Node")))</f>
        <v/>
      </c>
      <c r="J760" s="13" t="str">
        <f>IF(I760="DS Node",'Characteristics&amp;Parameters'!$B$8,IF(I760&lt;='Characteristics&amp;Parameters'!$B$17,((1-'Characteristics&amp;Parameters'!$B$19)*ConcentrationsCalculations!F760+'Characteristics&amp;Parameters'!$B$19*ConcentrationsCalculations!F759-F760/86400*'Characteristics&amp;Parameters'!$B$11*'Characteristics&amp;Parameters'!$B$12),""))</f>
        <v/>
      </c>
    </row>
    <row r="761" spans="1:10" x14ac:dyDescent="0.5">
      <c r="A761" s="7" t="str">
        <f>IF(A760&lt;'Characteristics&amp;Parameters'!$B$17,ConcentrationsCalculations!A760+1,IF(A760="DS Node","",IF(A760="","","DS Node")))</f>
        <v/>
      </c>
      <c r="B761" s="8" t="str">
        <f>IF(A761&lt;='Characteristics&amp;Parameters'!$B$17,'Characteristics&amp;Parameters'!$B$7,IF(ConcentrationsCalculations!A761="DS Node",'Characteristics&amp;Parameters'!$B$8,""))</f>
        <v/>
      </c>
      <c r="C761" s="8"/>
      <c r="E761" s="7" t="s">
        <v>25</v>
      </c>
      <c r="F761" s="8" t="s">
        <v>25</v>
      </c>
      <c r="I761" s="7" t="str">
        <f>IF(I760&lt;'Characteristics&amp;Parameters'!$B$17,ConcentrationsCalculations!I760+1,IF(I760="DS Node","",IF(I760="","","DS Node")))</f>
        <v/>
      </c>
      <c r="J761" s="13" t="str">
        <f>IF(I761="DS Node",'Characteristics&amp;Parameters'!$B$8,IF(I761&lt;='Characteristics&amp;Parameters'!$B$17,((1-'Characteristics&amp;Parameters'!$B$19)*ConcentrationsCalculations!F761+'Characteristics&amp;Parameters'!$B$19*ConcentrationsCalculations!F760-F761/86400*'Characteristics&amp;Parameters'!$B$11*'Characteristics&amp;Parameters'!$B$12),""))</f>
        <v/>
      </c>
    </row>
    <row r="762" spans="1:10" x14ac:dyDescent="0.5">
      <c r="A762" s="7" t="str">
        <f>IF(A761&lt;'Characteristics&amp;Parameters'!$B$17,ConcentrationsCalculations!A761+1,IF(A761="DS Node","",IF(A761="","","DS Node")))</f>
        <v/>
      </c>
      <c r="B762" s="8" t="str">
        <f>IF(A762&lt;='Characteristics&amp;Parameters'!$B$17,'Characteristics&amp;Parameters'!$B$7,IF(ConcentrationsCalculations!A762="DS Node",'Characteristics&amp;Parameters'!$B$8,""))</f>
        <v/>
      </c>
      <c r="C762" s="8"/>
      <c r="E762" s="7" t="s">
        <v>25</v>
      </c>
      <c r="F762" s="8" t="s">
        <v>25</v>
      </c>
      <c r="I762" s="7" t="str">
        <f>IF(I761&lt;'Characteristics&amp;Parameters'!$B$17,ConcentrationsCalculations!I761+1,IF(I761="DS Node","",IF(I761="","","DS Node")))</f>
        <v/>
      </c>
      <c r="J762" s="13" t="str">
        <f>IF(I762="DS Node",'Characteristics&amp;Parameters'!$B$8,IF(I762&lt;='Characteristics&amp;Parameters'!$B$17,((1-'Characteristics&amp;Parameters'!$B$19)*ConcentrationsCalculations!F762+'Characteristics&amp;Parameters'!$B$19*ConcentrationsCalculations!F761-F762/86400*'Characteristics&amp;Parameters'!$B$11*'Characteristics&amp;Parameters'!$B$12),""))</f>
        <v/>
      </c>
    </row>
    <row r="763" spans="1:10" x14ac:dyDescent="0.5">
      <c r="A763" s="7" t="str">
        <f>IF(A762&lt;'Characteristics&amp;Parameters'!$B$17,ConcentrationsCalculations!A762+1,IF(A762="DS Node","",IF(A762="","","DS Node")))</f>
        <v/>
      </c>
      <c r="B763" s="8" t="str">
        <f>IF(A763&lt;='Characteristics&amp;Parameters'!$B$17,'Characteristics&amp;Parameters'!$B$7,IF(ConcentrationsCalculations!A763="DS Node",'Characteristics&amp;Parameters'!$B$8,""))</f>
        <v/>
      </c>
      <c r="C763" s="8"/>
      <c r="E763" s="7" t="s">
        <v>25</v>
      </c>
      <c r="F763" s="8" t="s">
        <v>25</v>
      </c>
      <c r="I763" s="7" t="str">
        <f>IF(I762&lt;'Characteristics&amp;Parameters'!$B$17,ConcentrationsCalculations!I762+1,IF(I762="DS Node","",IF(I762="","","DS Node")))</f>
        <v/>
      </c>
      <c r="J763" s="13" t="str">
        <f>IF(I763="DS Node",'Characteristics&amp;Parameters'!$B$8,IF(I763&lt;='Characteristics&amp;Parameters'!$B$17,((1-'Characteristics&amp;Parameters'!$B$19)*ConcentrationsCalculations!F763+'Characteristics&amp;Parameters'!$B$19*ConcentrationsCalculations!F762-F763/86400*'Characteristics&amp;Parameters'!$B$11*'Characteristics&amp;Parameters'!$B$12),""))</f>
        <v/>
      </c>
    </row>
    <row r="764" spans="1:10" x14ac:dyDescent="0.5">
      <c r="A764" s="7" t="str">
        <f>IF(A763&lt;'Characteristics&amp;Parameters'!$B$17,ConcentrationsCalculations!A763+1,IF(A763="DS Node","",IF(A763="","","DS Node")))</f>
        <v/>
      </c>
      <c r="B764" s="8" t="str">
        <f>IF(A764&lt;='Characteristics&amp;Parameters'!$B$17,'Characteristics&amp;Parameters'!$B$7,IF(ConcentrationsCalculations!A764="DS Node",'Characteristics&amp;Parameters'!$B$8,""))</f>
        <v/>
      </c>
      <c r="C764" s="8"/>
      <c r="E764" s="7" t="s">
        <v>25</v>
      </c>
      <c r="F764" s="8" t="s">
        <v>25</v>
      </c>
      <c r="I764" s="7" t="str">
        <f>IF(I763&lt;'Characteristics&amp;Parameters'!$B$17,ConcentrationsCalculations!I763+1,IF(I763="DS Node","",IF(I763="","","DS Node")))</f>
        <v/>
      </c>
      <c r="J764" s="13" t="str">
        <f>IF(I764="DS Node",'Characteristics&amp;Parameters'!$B$8,IF(I764&lt;='Characteristics&amp;Parameters'!$B$17,((1-'Characteristics&amp;Parameters'!$B$19)*ConcentrationsCalculations!F764+'Characteristics&amp;Parameters'!$B$19*ConcentrationsCalculations!F763-F764/86400*'Characteristics&amp;Parameters'!$B$11*'Characteristics&amp;Parameters'!$B$12),""))</f>
        <v/>
      </c>
    </row>
    <row r="765" spans="1:10" x14ac:dyDescent="0.5">
      <c r="A765" s="7" t="str">
        <f>IF(A764&lt;'Characteristics&amp;Parameters'!$B$17,ConcentrationsCalculations!A764+1,IF(A764="DS Node","",IF(A764="","","DS Node")))</f>
        <v/>
      </c>
      <c r="B765" s="8" t="str">
        <f>IF(A765&lt;='Characteristics&amp;Parameters'!$B$17,'Characteristics&amp;Parameters'!$B$7,IF(ConcentrationsCalculations!A765="DS Node",'Characteristics&amp;Parameters'!$B$8,""))</f>
        <v/>
      </c>
      <c r="C765" s="8"/>
      <c r="E765" s="7" t="s">
        <v>25</v>
      </c>
      <c r="F765" s="8" t="s">
        <v>25</v>
      </c>
      <c r="I765" s="7" t="str">
        <f>IF(I764&lt;'Characteristics&amp;Parameters'!$B$17,ConcentrationsCalculations!I764+1,IF(I764="DS Node","",IF(I764="","","DS Node")))</f>
        <v/>
      </c>
      <c r="J765" s="13" t="str">
        <f>IF(I765="DS Node",'Characteristics&amp;Parameters'!$B$8,IF(I765&lt;='Characteristics&amp;Parameters'!$B$17,((1-'Characteristics&amp;Parameters'!$B$19)*ConcentrationsCalculations!F765+'Characteristics&amp;Parameters'!$B$19*ConcentrationsCalculations!F764-F765/86400*'Characteristics&amp;Parameters'!$B$11*'Characteristics&amp;Parameters'!$B$12),""))</f>
        <v/>
      </c>
    </row>
    <row r="766" spans="1:10" x14ac:dyDescent="0.5">
      <c r="A766" s="7" t="str">
        <f>IF(A765&lt;'Characteristics&amp;Parameters'!$B$17,ConcentrationsCalculations!A765+1,IF(A765="DS Node","",IF(A765="","","DS Node")))</f>
        <v/>
      </c>
      <c r="B766" s="8" t="str">
        <f>IF(A766&lt;='Characteristics&amp;Parameters'!$B$17,'Characteristics&amp;Parameters'!$B$7,IF(ConcentrationsCalculations!A766="DS Node",'Characteristics&amp;Parameters'!$B$8,""))</f>
        <v/>
      </c>
      <c r="C766" s="8"/>
      <c r="E766" s="7" t="s">
        <v>25</v>
      </c>
      <c r="F766" s="8" t="s">
        <v>25</v>
      </c>
      <c r="I766" s="7" t="str">
        <f>IF(I765&lt;'Characteristics&amp;Parameters'!$B$17,ConcentrationsCalculations!I765+1,IF(I765="DS Node","",IF(I765="","","DS Node")))</f>
        <v/>
      </c>
      <c r="J766" s="13" t="str">
        <f>IF(I766="DS Node",'Characteristics&amp;Parameters'!$B$8,IF(I766&lt;='Characteristics&amp;Parameters'!$B$17,((1-'Characteristics&amp;Parameters'!$B$19)*ConcentrationsCalculations!F766+'Characteristics&amp;Parameters'!$B$19*ConcentrationsCalculations!F765-F766/86400*'Characteristics&amp;Parameters'!$B$11*'Characteristics&amp;Parameters'!$B$12),""))</f>
        <v/>
      </c>
    </row>
    <row r="767" spans="1:10" x14ac:dyDescent="0.5">
      <c r="A767" s="7" t="str">
        <f>IF(A766&lt;'Characteristics&amp;Parameters'!$B$17,ConcentrationsCalculations!A766+1,IF(A766="DS Node","",IF(A766="","","DS Node")))</f>
        <v/>
      </c>
      <c r="B767" s="8" t="str">
        <f>IF(A767&lt;='Characteristics&amp;Parameters'!$B$17,'Characteristics&amp;Parameters'!$B$7,IF(ConcentrationsCalculations!A767="DS Node",'Characteristics&amp;Parameters'!$B$8,""))</f>
        <v/>
      </c>
      <c r="C767" s="8"/>
      <c r="E767" s="7" t="s">
        <v>25</v>
      </c>
      <c r="F767" s="8" t="s">
        <v>25</v>
      </c>
      <c r="I767" s="7" t="str">
        <f>IF(I766&lt;'Characteristics&amp;Parameters'!$B$17,ConcentrationsCalculations!I766+1,IF(I766="DS Node","",IF(I766="","","DS Node")))</f>
        <v/>
      </c>
      <c r="J767" s="13" t="str">
        <f>IF(I767="DS Node",'Characteristics&amp;Parameters'!$B$8,IF(I767&lt;='Characteristics&amp;Parameters'!$B$17,((1-'Characteristics&amp;Parameters'!$B$19)*ConcentrationsCalculations!F767+'Characteristics&amp;Parameters'!$B$19*ConcentrationsCalculations!F766-F767/86400*'Characteristics&amp;Parameters'!$B$11*'Characteristics&amp;Parameters'!$B$12),""))</f>
        <v/>
      </c>
    </row>
    <row r="768" spans="1:10" x14ac:dyDescent="0.5">
      <c r="A768" s="7" t="str">
        <f>IF(A767&lt;'Characteristics&amp;Parameters'!$B$17,ConcentrationsCalculations!A767+1,IF(A767="DS Node","",IF(A767="","","DS Node")))</f>
        <v/>
      </c>
      <c r="B768" s="8" t="str">
        <f>IF(A768&lt;='Characteristics&amp;Parameters'!$B$17,'Characteristics&amp;Parameters'!$B$7,IF(ConcentrationsCalculations!A768="DS Node",'Characteristics&amp;Parameters'!$B$8,""))</f>
        <v/>
      </c>
      <c r="C768" s="8"/>
      <c r="E768" s="7" t="s">
        <v>25</v>
      </c>
      <c r="F768" s="8" t="s">
        <v>25</v>
      </c>
      <c r="I768" s="7" t="str">
        <f>IF(I767&lt;'Characteristics&amp;Parameters'!$B$17,ConcentrationsCalculations!I767+1,IF(I767="DS Node","",IF(I767="","","DS Node")))</f>
        <v/>
      </c>
      <c r="J768" s="13" t="str">
        <f>IF(I768="DS Node",'Characteristics&amp;Parameters'!$B$8,IF(I768&lt;='Characteristics&amp;Parameters'!$B$17,((1-'Characteristics&amp;Parameters'!$B$19)*ConcentrationsCalculations!F768+'Characteristics&amp;Parameters'!$B$19*ConcentrationsCalculations!F767-F768/86400*'Characteristics&amp;Parameters'!$B$11*'Characteristics&amp;Parameters'!$B$12),""))</f>
        <v/>
      </c>
    </row>
    <row r="769" spans="1:10" x14ac:dyDescent="0.5">
      <c r="A769" s="7" t="str">
        <f>IF(A768&lt;'Characteristics&amp;Parameters'!$B$17,ConcentrationsCalculations!A768+1,IF(A768="DS Node","",IF(A768="","","DS Node")))</f>
        <v/>
      </c>
      <c r="B769" s="8" t="str">
        <f>IF(A769&lt;='Characteristics&amp;Parameters'!$B$17,'Characteristics&amp;Parameters'!$B$7,IF(ConcentrationsCalculations!A769="DS Node",'Characteristics&amp;Parameters'!$B$8,""))</f>
        <v/>
      </c>
      <c r="C769" s="8"/>
      <c r="E769" s="7" t="s">
        <v>25</v>
      </c>
      <c r="F769" s="8" t="s">
        <v>25</v>
      </c>
      <c r="I769" s="7" t="str">
        <f>IF(I768&lt;'Characteristics&amp;Parameters'!$B$17,ConcentrationsCalculations!I768+1,IF(I768="DS Node","",IF(I768="","","DS Node")))</f>
        <v/>
      </c>
      <c r="J769" s="13" t="str">
        <f>IF(I769="DS Node",'Characteristics&amp;Parameters'!$B$8,IF(I769&lt;='Characteristics&amp;Parameters'!$B$17,((1-'Characteristics&amp;Parameters'!$B$19)*ConcentrationsCalculations!F769+'Characteristics&amp;Parameters'!$B$19*ConcentrationsCalculations!F768-F769/86400*'Characteristics&amp;Parameters'!$B$11*'Characteristics&amp;Parameters'!$B$12),""))</f>
        <v/>
      </c>
    </row>
    <row r="770" spans="1:10" x14ac:dyDescent="0.5">
      <c r="A770" s="7" t="str">
        <f>IF(A769&lt;'Characteristics&amp;Parameters'!$B$17,ConcentrationsCalculations!A769+1,IF(A769="DS Node","",IF(A769="","","DS Node")))</f>
        <v/>
      </c>
      <c r="B770" s="8" t="str">
        <f>IF(A770&lt;='Characteristics&amp;Parameters'!$B$17,'Characteristics&amp;Parameters'!$B$7,IF(ConcentrationsCalculations!A770="DS Node",'Characteristics&amp;Parameters'!$B$8,""))</f>
        <v/>
      </c>
      <c r="C770" s="8"/>
      <c r="E770" s="7" t="s">
        <v>25</v>
      </c>
      <c r="F770" s="8" t="s">
        <v>25</v>
      </c>
      <c r="I770" s="7" t="str">
        <f>IF(I769&lt;'Characteristics&amp;Parameters'!$B$17,ConcentrationsCalculations!I769+1,IF(I769="DS Node","",IF(I769="","","DS Node")))</f>
        <v/>
      </c>
      <c r="J770" s="13" t="str">
        <f>IF(I770="DS Node",'Characteristics&amp;Parameters'!$B$8,IF(I770&lt;='Characteristics&amp;Parameters'!$B$17,((1-'Characteristics&amp;Parameters'!$B$19)*ConcentrationsCalculations!F770+'Characteristics&amp;Parameters'!$B$19*ConcentrationsCalculations!F769-F770/86400*'Characteristics&amp;Parameters'!$B$11*'Characteristics&amp;Parameters'!$B$12),""))</f>
        <v/>
      </c>
    </row>
    <row r="771" spans="1:10" x14ac:dyDescent="0.5">
      <c r="A771" s="7" t="str">
        <f>IF(A770&lt;'Characteristics&amp;Parameters'!$B$17,ConcentrationsCalculations!A770+1,IF(A770="DS Node","",IF(A770="","","DS Node")))</f>
        <v/>
      </c>
      <c r="B771" s="8" t="str">
        <f>IF(A771&lt;='Characteristics&amp;Parameters'!$B$17,'Characteristics&amp;Parameters'!$B$7,IF(ConcentrationsCalculations!A771="DS Node",'Characteristics&amp;Parameters'!$B$8,""))</f>
        <v/>
      </c>
      <c r="C771" s="8"/>
      <c r="E771" s="7" t="s">
        <v>25</v>
      </c>
      <c r="F771" s="8" t="s">
        <v>25</v>
      </c>
      <c r="I771" s="7" t="str">
        <f>IF(I770&lt;'Characteristics&amp;Parameters'!$B$17,ConcentrationsCalculations!I770+1,IF(I770="DS Node","",IF(I770="","","DS Node")))</f>
        <v/>
      </c>
      <c r="J771" s="13" t="str">
        <f>IF(I771="DS Node",'Characteristics&amp;Parameters'!$B$8,IF(I771&lt;='Characteristics&amp;Parameters'!$B$17,((1-'Characteristics&amp;Parameters'!$B$19)*ConcentrationsCalculations!F771+'Characteristics&amp;Parameters'!$B$19*ConcentrationsCalculations!F770-F771/86400*'Characteristics&amp;Parameters'!$B$11*'Characteristics&amp;Parameters'!$B$12),""))</f>
        <v/>
      </c>
    </row>
    <row r="772" spans="1:10" x14ac:dyDescent="0.5">
      <c r="A772" s="7" t="str">
        <f>IF(A771&lt;'Characteristics&amp;Parameters'!$B$17,ConcentrationsCalculations!A771+1,IF(A771="DS Node","",IF(A771="","","DS Node")))</f>
        <v/>
      </c>
      <c r="B772" s="8" t="str">
        <f>IF(A772&lt;='Characteristics&amp;Parameters'!$B$17,'Characteristics&amp;Parameters'!$B$7,IF(ConcentrationsCalculations!A772="DS Node",'Characteristics&amp;Parameters'!$B$8,""))</f>
        <v/>
      </c>
      <c r="C772" s="8"/>
      <c r="E772" s="7" t="s">
        <v>25</v>
      </c>
      <c r="F772" s="8" t="s">
        <v>25</v>
      </c>
      <c r="I772" s="7" t="str">
        <f>IF(I771&lt;'Characteristics&amp;Parameters'!$B$17,ConcentrationsCalculations!I771+1,IF(I771="DS Node","",IF(I771="","","DS Node")))</f>
        <v/>
      </c>
      <c r="J772" s="13" t="str">
        <f>IF(I772="DS Node",'Characteristics&amp;Parameters'!$B$8,IF(I772&lt;='Characteristics&amp;Parameters'!$B$17,((1-'Characteristics&amp;Parameters'!$B$19)*ConcentrationsCalculations!F772+'Characteristics&amp;Parameters'!$B$19*ConcentrationsCalculations!F771-F772/86400*'Characteristics&amp;Parameters'!$B$11*'Characteristics&amp;Parameters'!$B$12),""))</f>
        <v/>
      </c>
    </row>
    <row r="773" spans="1:10" x14ac:dyDescent="0.5">
      <c r="A773" s="7" t="str">
        <f>IF(A772&lt;'Characteristics&amp;Parameters'!$B$17,ConcentrationsCalculations!A772+1,IF(A772="DS Node","",IF(A772="","","DS Node")))</f>
        <v/>
      </c>
      <c r="B773" s="8" t="str">
        <f>IF(A773&lt;='Characteristics&amp;Parameters'!$B$17,'Characteristics&amp;Parameters'!$B$7,IF(ConcentrationsCalculations!A773="DS Node",'Characteristics&amp;Parameters'!$B$8,""))</f>
        <v/>
      </c>
      <c r="C773" s="8"/>
      <c r="E773" s="7" t="s">
        <v>25</v>
      </c>
      <c r="F773" s="8" t="s">
        <v>25</v>
      </c>
      <c r="I773" s="7" t="str">
        <f>IF(I772&lt;'Characteristics&amp;Parameters'!$B$17,ConcentrationsCalculations!I772+1,IF(I772="DS Node","",IF(I772="","","DS Node")))</f>
        <v/>
      </c>
      <c r="J773" s="13" t="str">
        <f>IF(I773="DS Node",'Characteristics&amp;Parameters'!$B$8,IF(I773&lt;='Characteristics&amp;Parameters'!$B$17,((1-'Characteristics&amp;Parameters'!$B$19)*ConcentrationsCalculations!F773+'Characteristics&amp;Parameters'!$B$19*ConcentrationsCalculations!F772-F773/86400*'Characteristics&amp;Parameters'!$B$11*'Characteristics&amp;Parameters'!$B$12),""))</f>
        <v/>
      </c>
    </row>
    <row r="774" spans="1:10" x14ac:dyDescent="0.5">
      <c r="A774" s="7" t="str">
        <f>IF(A773&lt;'Characteristics&amp;Parameters'!$B$17,ConcentrationsCalculations!A773+1,IF(A773="DS Node","",IF(A773="","","DS Node")))</f>
        <v/>
      </c>
      <c r="B774" s="8" t="str">
        <f>IF(A774&lt;='Characteristics&amp;Parameters'!$B$17,'Characteristics&amp;Parameters'!$B$7,IF(ConcentrationsCalculations!A774="DS Node",'Characteristics&amp;Parameters'!$B$8,""))</f>
        <v/>
      </c>
      <c r="C774" s="8"/>
      <c r="E774" s="7" t="s">
        <v>25</v>
      </c>
      <c r="F774" s="8" t="s">
        <v>25</v>
      </c>
      <c r="I774" s="7" t="str">
        <f>IF(I773&lt;'Characteristics&amp;Parameters'!$B$17,ConcentrationsCalculations!I773+1,IF(I773="DS Node","",IF(I773="","","DS Node")))</f>
        <v/>
      </c>
      <c r="J774" s="13" t="str">
        <f>IF(I774="DS Node",'Characteristics&amp;Parameters'!$B$8,IF(I774&lt;='Characteristics&amp;Parameters'!$B$17,((1-'Characteristics&amp;Parameters'!$B$19)*ConcentrationsCalculations!F774+'Characteristics&amp;Parameters'!$B$19*ConcentrationsCalculations!F773-F774/86400*'Characteristics&amp;Parameters'!$B$11*'Characteristics&amp;Parameters'!$B$12),""))</f>
        <v/>
      </c>
    </row>
    <row r="775" spans="1:10" x14ac:dyDescent="0.5">
      <c r="A775" s="7" t="str">
        <f>IF(A774&lt;'Characteristics&amp;Parameters'!$B$17,ConcentrationsCalculations!A774+1,IF(A774="DS Node","",IF(A774="","","DS Node")))</f>
        <v/>
      </c>
      <c r="B775" s="8" t="str">
        <f>IF(A775&lt;='Characteristics&amp;Parameters'!$B$17,'Characteristics&amp;Parameters'!$B$7,IF(ConcentrationsCalculations!A775="DS Node",'Characteristics&amp;Parameters'!$B$8,""))</f>
        <v/>
      </c>
      <c r="C775" s="8"/>
      <c r="E775" s="7" t="s">
        <v>25</v>
      </c>
      <c r="F775" s="8" t="s">
        <v>25</v>
      </c>
      <c r="I775" s="7" t="str">
        <f>IF(I774&lt;'Characteristics&amp;Parameters'!$B$17,ConcentrationsCalculations!I774+1,IF(I774="DS Node","",IF(I774="","","DS Node")))</f>
        <v/>
      </c>
      <c r="J775" s="13" t="str">
        <f>IF(I775="DS Node",'Characteristics&amp;Parameters'!$B$8,IF(I775&lt;='Characteristics&amp;Parameters'!$B$17,((1-'Characteristics&amp;Parameters'!$B$19)*ConcentrationsCalculations!F775+'Characteristics&amp;Parameters'!$B$19*ConcentrationsCalculations!F774-F775/86400*'Characteristics&amp;Parameters'!$B$11*'Characteristics&amp;Parameters'!$B$12),""))</f>
        <v/>
      </c>
    </row>
    <row r="776" spans="1:10" x14ac:dyDescent="0.5">
      <c r="A776" s="7" t="str">
        <f>IF(A775&lt;'Characteristics&amp;Parameters'!$B$17,ConcentrationsCalculations!A775+1,IF(A775="DS Node","",IF(A775="","","DS Node")))</f>
        <v/>
      </c>
      <c r="B776" s="8" t="str">
        <f>IF(A776&lt;='Characteristics&amp;Parameters'!$B$17,'Characteristics&amp;Parameters'!$B$7,IF(ConcentrationsCalculations!A776="DS Node",'Characteristics&amp;Parameters'!$B$8,""))</f>
        <v/>
      </c>
      <c r="C776" s="8"/>
      <c r="E776" s="7" t="s">
        <v>25</v>
      </c>
      <c r="F776" s="8" t="s">
        <v>25</v>
      </c>
      <c r="I776" s="7" t="str">
        <f>IF(I775&lt;'Characteristics&amp;Parameters'!$B$17,ConcentrationsCalculations!I775+1,IF(I775="DS Node","",IF(I775="","","DS Node")))</f>
        <v/>
      </c>
      <c r="J776" s="13" t="str">
        <f>IF(I776="DS Node",'Characteristics&amp;Parameters'!$B$8,IF(I776&lt;='Characteristics&amp;Parameters'!$B$17,((1-'Characteristics&amp;Parameters'!$B$19)*ConcentrationsCalculations!F776+'Characteristics&amp;Parameters'!$B$19*ConcentrationsCalculations!F775-F776/86400*'Characteristics&amp;Parameters'!$B$11*'Characteristics&amp;Parameters'!$B$12),""))</f>
        <v/>
      </c>
    </row>
    <row r="777" spans="1:10" x14ac:dyDescent="0.5">
      <c r="A777" s="7" t="str">
        <f>IF(A776&lt;'Characteristics&amp;Parameters'!$B$17,ConcentrationsCalculations!A776+1,IF(A776="DS Node","",IF(A776="","","DS Node")))</f>
        <v/>
      </c>
      <c r="B777" s="8" t="str">
        <f>IF(A777&lt;='Characteristics&amp;Parameters'!$B$17,'Characteristics&amp;Parameters'!$B$7,IF(ConcentrationsCalculations!A777="DS Node",'Characteristics&amp;Parameters'!$B$8,""))</f>
        <v/>
      </c>
      <c r="C777" s="8"/>
      <c r="E777" s="7" t="s">
        <v>25</v>
      </c>
      <c r="F777" s="8" t="s">
        <v>25</v>
      </c>
      <c r="I777" s="7" t="str">
        <f>IF(I776&lt;'Characteristics&amp;Parameters'!$B$17,ConcentrationsCalculations!I776+1,IF(I776="DS Node","",IF(I776="","","DS Node")))</f>
        <v/>
      </c>
      <c r="J777" s="13" t="str">
        <f>IF(I777="DS Node",'Characteristics&amp;Parameters'!$B$8,IF(I777&lt;='Characteristics&amp;Parameters'!$B$17,((1-'Characteristics&amp;Parameters'!$B$19)*ConcentrationsCalculations!F777+'Characteristics&amp;Parameters'!$B$19*ConcentrationsCalculations!F776-F777/86400*'Characteristics&amp;Parameters'!$B$11*'Characteristics&amp;Parameters'!$B$12),""))</f>
        <v/>
      </c>
    </row>
    <row r="778" spans="1:10" x14ac:dyDescent="0.5">
      <c r="A778" s="7" t="str">
        <f>IF(A777&lt;'Characteristics&amp;Parameters'!$B$17,ConcentrationsCalculations!A777+1,IF(A777="DS Node","",IF(A777="","","DS Node")))</f>
        <v/>
      </c>
      <c r="B778" s="8" t="str">
        <f>IF(A778&lt;='Characteristics&amp;Parameters'!$B$17,'Characteristics&amp;Parameters'!$B$7,IF(ConcentrationsCalculations!A778="DS Node",'Characteristics&amp;Parameters'!$B$8,""))</f>
        <v/>
      </c>
      <c r="C778" s="8"/>
      <c r="E778" s="7" t="s">
        <v>25</v>
      </c>
      <c r="F778" s="8" t="s">
        <v>25</v>
      </c>
      <c r="I778" s="7" t="str">
        <f>IF(I777&lt;'Characteristics&amp;Parameters'!$B$17,ConcentrationsCalculations!I777+1,IF(I777="DS Node","",IF(I777="","","DS Node")))</f>
        <v/>
      </c>
      <c r="J778" s="13" t="str">
        <f>IF(I778="DS Node",'Characteristics&amp;Parameters'!$B$8,IF(I778&lt;='Characteristics&amp;Parameters'!$B$17,((1-'Characteristics&amp;Parameters'!$B$19)*ConcentrationsCalculations!F778+'Characteristics&amp;Parameters'!$B$19*ConcentrationsCalculations!F777-F778/86400*'Characteristics&amp;Parameters'!$B$11*'Characteristics&amp;Parameters'!$B$12),""))</f>
        <v/>
      </c>
    </row>
    <row r="779" spans="1:10" x14ac:dyDescent="0.5">
      <c r="A779" s="7" t="str">
        <f>IF(A778&lt;'Characteristics&amp;Parameters'!$B$17,ConcentrationsCalculations!A778+1,IF(A778="DS Node","",IF(A778="","","DS Node")))</f>
        <v/>
      </c>
      <c r="B779" s="8" t="str">
        <f>IF(A779&lt;='Characteristics&amp;Parameters'!$B$17,'Characteristics&amp;Parameters'!$B$7,IF(ConcentrationsCalculations!A779="DS Node",'Characteristics&amp;Parameters'!$B$8,""))</f>
        <v/>
      </c>
      <c r="C779" s="8"/>
      <c r="E779" s="7" t="s">
        <v>25</v>
      </c>
      <c r="F779" s="8" t="s">
        <v>25</v>
      </c>
      <c r="I779" s="7" t="str">
        <f>IF(I778&lt;'Characteristics&amp;Parameters'!$B$17,ConcentrationsCalculations!I778+1,IF(I778="DS Node","",IF(I778="","","DS Node")))</f>
        <v/>
      </c>
      <c r="J779" s="13" t="str">
        <f>IF(I779="DS Node",'Characteristics&amp;Parameters'!$B$8,IF(I779&lt;='Characteristics&amp;Parameters'!$B$17,((1-'Characteristics&amp;Parameters'!$B$19)*ConcentrationsCalculations!F779+'Characteristics&amp;Parameters'!$B$19*ConcentrationsCalculations!F778-F779/86400*'Characteristics&amp;Parameters'!$B$11*'Characteristics&amp;Parameters'!$B$12),""))</f>
        <v/>
      </c>
    </row>
    <row r="780" spans="1:10" x14ac:dyDescent="0.5">
      <c r="A780" s="7" t="str">
        <f>IF(A779&lt;'Characteristics&amp;Parameters'!$B$17,ConcentrationsCalculations!A779+1,IF(A779="DS Node","",IF(A779="","","DS Node")))</f>
        <v/>
      </c>
      <c r="B780" s="8" t="str">
        <f>IF(A780&lt;='Characteristics&amp;Parameters'!$B$17,'Characteristics&amp;Parameters'!$B$7,IF(ConcentrationsCalculations!A780="DS Node",'Characteristics&amp;Parameters'!$B$8,""))</f>
        <v/>
      </c>
      <c r="C780" s="8"/>
      <c r="E780" s="7" t="s">
        <v>25</v>
      </c>
      <c r="F780" s="8" t="s">
        <v>25</v>
      </c>
      <c r="I780" s="7" t="str">
        <f>IF(I779&lt;'Characteristics&amp;Parameters'!$B$17,ConcentrationsCalculations!I779+1,IF(I779="DS Node","",IF(I779="","","DS Node")))</f>
        <v/>
      </c>
      <c r="J780" s="13" t="str">
        <f>IF(I780="DS Node",'Characteristics&amp;Parameters'!$B$8,IF(I780&lt;='Characteristics&amp;Parameters'!$B$17,((1-'Characteristics&amp;Parameters'!$B$19)*ConcentrationsCalculations!F780+'Characteristics&amp;Parameters'!$B$19*ConcentrationsCalculations!F779-F780/86400*'Characteristics&amp;Parameters'!$B$11*'Characteristics&amp;Parameters'!$B$12),""))</f>
        <v/>
      </c>
    </row>
    <row r="781" spans="1:10" x14ac:dyDescent="0.5">
      <c r="A781" s="7" t="str">
        <f>IF(A780&lt;'Characteristics&amp;Parameters'!$B$17,ConcentrationsCalculations!A780+1,IF(A780="DS Node","",IF(A780="","","DS Node")))</f>
        <v/>
      </c>
      <c r="B781" s="8" t="str">
        <f>IF(A781&lt;='Characteristics&amp;Parameters'!$B$17,'Characteristics&amp;Parameters'!$B$7,IF(ConcentrationsCalculations!A781="DS Node",'Characteristics&amp;Parameters'!$B$8,""))</f>
        <v/>
      </c>
      <c r="C781" s="8"/>
      <c r="E781" s="7" t="s">
        <v>25</v>
      </c>
      <c r="F781" s="8" t="s">
        <v>25</v>
      </c>
      <c r="I781" s="7" t="str">
        <f>IF(I780&lt;'Characteristics&amp;Parameters'!$B$17,ConcentrationsCalculations!I780+1,IF(I780="DS Node","",IF(I780="","","DS Node")))</f>
        <v/>
      </c>
      <c r="J781" s="13" t="str">
        <f>IF(I781="DS Node",'Characteristics&amp;Parameters'!$B$8,IF(I781&lt;='Characteristics&amp;Parameters'!$B$17,((1-'Characteristics&amp;Parameters'!$B$19)*ConcentrationsCalculations!F781+'Characteristics&amp;Parameters'!$B$19*ConcentrationsCalculations!F780-F781/86400*'Characteristics&amp;Parameters'!$B$11*'Characteristics&amp;Parameters'!$B$12),""))</f>
        <v/>
      </c>
    </row>
    <row r="782" spans="1:10" x14ac:dyDescent="0.5">
      <c r="A782" s="7" t="str">
        <f>IF(A781&lt;'Characteristics&amp;Parameters'!$B$17,ConcentrationsCalculations!A781+1,IF(A781="DS Node","",IF(A781="","","DS Node")))</f>
        <v/>
      </c>
      <c r="B782" s="8" t="str">
        <f>IF(A782&lt;='Characteristics&amp;Parameters'!$B$17,'Characteristics&amp;Parameters'!$B$7,IF(ConcentrationsCalculations!A782="DS Node",'Characteristics&amp;Parameters'!$B$8,""))</f>
        <v/>
      </c>
      <c r="C782" s="8"/>
      <c r="E782" s="7" t="s">
        <v>25</v>
      </c>
      <c r="F782" s="8" t="s">
        <v>25</v>
      </c>
      <c r="I782" s="7" t="str">
        <f>IF(I781&lt;'Characteristics&amp;Parameters'!$B$17,ConcentrationsCalculations!I781+1,IF(I781="DS Node","",IF(I781="","","DS Node")))</f>
        <v/>
      </c>
      <c r="J782" s="13" t="str">
        <f>IF(I782="DS Node",'Characteristics&amp;Parameters'!$B$8,IF(I782&lt;='Characteristics&amp;Parameters'!$B$17,((1-'Characteristics&amp;Parameters'!$B$19)*ConcentrationsCalculations!F782+'Characteristics&amp;Parameters'!$B$19*ConcentrationsCalculations!F781-F782/86400*'Characteristics&amp;Parameters'!$B$11*'Characteristics&amp;Parameters'!$B$12),""))</f>
        <v/>
      </c>
    </row>
    <row r="783" spans="1:10" x14ac:dyDescent="0.5">
      <c r="A783" s="7" t="str">
        <f>IF(A782&lt;'Characteristics&amp;Parameters'!$B$17,ConcentrationsCalculations!A782+1,IF(A782="DS Node","",IF(A782="","","DS Node")))</f>
        <v/>
      </c>
      <c r="B783" s="8" t="str">
        <f>IF(A783&lt;='Characteristics&amp;Parameters'!$B$17,'Characteristics&amp;Parameters'!$B$7,IF(ConcentrationsCalculations!A783="DS Node",'Characteristics&amp;Parameters'!$B$8,""))</f>
        <v/>
      </c>
      <c r="C783" s="8"/>
      <c r="E783" s="7" t="s">
        <v>25</v>
      </c>
      <c r="F783" s="8" t="s">
        <v>25</v>
      </c>
      <c r="I783" s="7" t="str">
        <f>IF(I782&lt;'Characteristics&amp;Parameters'!$B$17,ConcentrationsCalculations!I782+1,IF(I782="DS Node","",IF(I782="","","DS Node")))</f>
        <v/>
      </c>
      <c r="J783" s="13" t="str">
        <f>IF(I783="DS Node",'Characteristics&amp;Parameters'!$B$8,IF(I783&lt;='Characteristics&amp;Parameters'!$B$17,((1-'Characteristics&amp;Parameters'!$B$19)*ConcentrationsCalculations!F783+'Characteristics&amp;Parameters'!$B$19*ConcentrationsCalculations!F782-F783/86400*'Characteristics&amp;Parameters'!$B$11*'Characteristics&amp;Parameters'!$B$12),""))</f>
        <v/>
      </c>
    </row>
    <row r="784" spans="1:10" x14ac:dyDescent="0.5">
      <c r="A784" s="7" t="str">
        <f>IF(A783&lt;'Characteristics&amp;Parameters'!$B$17,ConcentrationsCalculations!A783+1,IF(A783="DS Node","",IF(A783="","","DS Node")))</f>
        <v/>
      </c>
      <c r="B784" s="8" t="str">
        <f>IF(A784&lt;='Characteristics&amp;Parameters'!$B$17,'Characteristics&amp;Parameters'!$B$7,IF(ConcentrationsCalculations!A784="DS Node",'Characteristics&amp;Parameters'!$B$8,""))</f>
        <v/>
      </c>
      <c r="C784" s="8"/>
      <c r="E784" s="7" t="s">
        <v>25</v>
      </c>
      <c r="F784" s="8" t="s">
        <v>25</v>
      </c>
      <c r="I784" s="7" t="str">
        <f>IF(I783&lt;'Characteristics&amp;Parameters'!$B$17,ConcentrationsCalculations!I783+1,IF(I783="DS Node","",IF(I783="","","DS Node")))</f>
        <v/>
      </c>
      <c r="J784" s="13" t="str">
        <f>IF(I784="DS Node",'Characteristics&amp;Parameters'!$B$8,IF(I784&lt;='Characteristics&amp;Parameters'!$B$17,((1-'Characteristics&amp;Parameters'!$B$19)*ConcentrationsCalculations!F784+'Characteristics&amp;Parameters'!$B$19*ConcentrationsCalculations!F783-F784/86400*'Characteristics&amp;Parameters'!$B$11*'Characteristics&amp;Parameters'!$B$12),""))</f>
        <v/>
      </c>
    </row>
    <row r="785" spans="1:10" x14ac:dyDescent="0.5">
      <c r="A785" s="7" t="str">
        <f>IF(A784&lt;'Characteristics&amp;Parameters'!$B$17,ConcentrationsCalculations!A784+1,IF(A784="DS Node","",IF(A784="","","DS Node")))</f>
        <v/>
      </c>
      <c r="B785" s="8" t="str">
        <f>IF(A785&lt;='Characteristics&amp;Parameters'!$B$17,'Characteristics&amp;Parameters'!$B$7,IF(ConcentrationsCalculations!A785="DS Node",'Characteristics&amp;Parameters'!$B$8,""))</f>
        <v/>
      </c>
      <c r="C785" s="8"/>
      <c r="E785" s="7" t="s">
        <v>25</v>
      </c>
      <c r="F785" s="8" t="s">
        <v>25</v>
      </c>
      <c r="I785" s="7" t="str">
        <f>IF(I784&lt;'Characteristics&amp;Parameters'!$B$17,ConcentrationsCalculations!I784+1,IF(I784="DS Node","",IF(I784="","","DS Node")))</f>
        <v/>
      </c>
      <c r="J785" s="13" t="str">
        <f>IF(I785="DS Node",'Characteristics&amp;Parameters'!$B$8,IF(I785&lt;='Characteristics&amp;Parameters'!$B$17,((1-'Characteristics&amp;Parameters'!$B$19)*ConcentrationsCalculations!F785+'Characteristics&amp;Parameters'!$B$19*ConcentrationsCalculations!F784-F785/86400*'Characteristics&amp;Parameters'!$B$11*'Characteristics&amp;Parameters'!$B$12),""))</f>
        <v/>
      </c>
    </row>
    <row r="786" spans="1:10" x14ac:dyDescent="0.5">
      <c r="A786" s="7" t="str">
        <f>IF(A785&lt;'Characteristics&amp;Parameters'!$B$17,ConcentrationsCalculations!A785+1,IF(A785="DS Node","",IF(A785="","","DS Node")))</f>
        <v/>
      </c>
      <c r="B786" s="8" t="str">
        <f>IF(A786&lt;='Characteristics&amp;Parameters'!$B$17,'Characteristics&amp;Parameters'!$B$7,IF(ConcentrationsCalculations!A786="DS Node",'Characteristics&amp;Parameters'!$B$8,""))</f>
        <v/>
      </c>
      <c r="C786" s="8"/>
      <c r="E786" s="7" t="s">
        <v>25</v>
      </c>
      <c r="F786" s="8" t="s">
        <v>25</v>
      </c>
      <c r="I786" s="7" t="str">
        <f>IF(I785&lt;'Characteristics&amp;Parameters'!$B$17,ConcentrationsCalculations!I785+1,IF(I785="DS Node","",IF(I785="","","DS Node")))</f>
        <v/>
      </c>
      <c r="J786" s="13" t="str">
        <f>IF(I786="DS Node",'Characteristics&amp;Parameters'!$B$8,IF(I786&lt;='Characteristics&amp;Parameters'!$B$17,((1-'Characteristics&amp;Parameters'!$B$19)*ConcentrationsCalculations!F786+'Characteristics&amp;Parameters'!$B$19*ConcentrationsCalculations!F785-F786/86400*'Characteristics&amp;Parameters'!$B$11*'Characteristics&amp;Parameters'!$B$12),""))</f>
        <v/>
      </c>
    </row>
    <row r="787" spans="1:10" x14ac:dyDescent="0.5">
      <c r="A787" s="7" t="str">
        <f>IF(A786&lt;'Characteristics&amp;Parameters'!$B$17,ConcentrationsCalculations!A786+1,IF(A786="DS Node","",IF(A786="","","DS Node")))</f>
        <v/>
      </c>
      <c r="B787" s="8" t="str">
        <f>IF(A787&lt;='Characteristics&amp;Parameters'!$B$17,'Characteristics&amp;Parameters'!$B$7,IF(ConcentrationsCalculations!A787="DS Node",'Characteristics&amp;Parameters'!$B$8,""))</f>
        <v/>
      </c>
      <c r="C787" s="8"/>
      <c r="E787" s="7" t="s">
        <v>25</v>
      </c>
      <c r="F787" s="8" t="s">
        <v>25</v>
      </c>
      <c r="I787" s="7" t="str">
        <f>IF(I786&lt;'Characteristics&amp;Parameters'!$B$17,ConcentrationsCalculations!I786+1,IF(I786="DS Node","",IF(I786="","","DS Node")))</f>
        <v/>
      </c>
      <c r="J787" s="13" t="str">
        <f>IF(I787="DS Node",'Characteristics&amp;Parameters'!$B$8,IF(I787&lt;='Characteristics&amp;Parameters'!$B$17,((1-'Characteristics&amp;Parameters'!$B$19)*ConcentrationsCalculations!F787+'Characteristics&amp;Parameters'!$B$19*ConcentrationsCalculations!F786-F787/86400*'Characteristics&amp;Parameters'!$B$11*'Characteristics&amp;Parameters'!$B$12),""))</f>
        <v/>
      </c>
    </row>
    <row r="788" spans="1:10" x14ac:dyDescent="0.5">
      <c r="A788" s="7" t="str">
        <f>IF(A787&lt;'Characteristics&amp;Parameters'!$B$17,ConcentrationsCalculations!A787+1,IF(A787="DS Node","",IF(A787="","","DS Node")))</f>
        <v/>
      </c>
      <c r="B788" s="8" t="str">
        <f>IF(A788&lt;='Characteristics&amp;Parameters'!$B$17,'Characteristics&amp;Parameters'!$B$7,IF(ConcentrationsCalculations!A788="DS Node",'Characteristics&amp;Parameters'!$B$8,""))</f>
        <v/>
      </c>
      <c r="C788" s="8"/>
      <c r="E788" s="7" t="s">
        <v>25</v>
      </c>
      <c r="F788" s="8" t="s">
        <v>25</v>
      </c>
      <c r="I788" s="7" t="str">
        <f>IF(I787&lt;'Characteristics&amp;Parameters'!$B$17,ConcentrationsCalculations!I787+1,IF(I787="DS Node","",IF(I787="","","DS Node")))</f>
        <v/>
      </c>
      <c r="J788" s="13" t="str">
        <f>IF(I788="DS Node",'Characteristics&amp;Parameters'!$B$8,IF(I788&lt;='Characteristics&amp;Parameters'!$B$17,((1-'Characteristics&amp;Parameters'!$B$19)*ConcentrationsCalculations!F788+'Characteristics&amp;Parameters'!$B$19*ConcentrationsCalculations!F787-F788/86400*'Characteristics&amp;Parameters'!$B$11*'Characteristics&amp;Parameters'!$B$12),""))</f>
        <v/>
      </c>
    </row>
    <row r="789" spans="1:10" x14ac:dyDescent="0.5">
      <c r="A789" s="7" t="str">
        <f>IF(A788&lt;'Characteristics&amp;Parameters'!$B$17,ConcentrationsCalculations!A788+1,IF(A788="DS Node","",IF(A788="","","DS Node")))</f>
        <v/>
      </c>
      <c r="B789" s="8" t="str">
        <f>IF(A789&lt;='Characteristics&amp;Parameters'!$B$17,'Characteristics&amp;Parameters'!$B$7,IF(ConcentrationsCalculations!A789="DS Node",'Characteristics&amp;Parameters'!$B$8,""))</f>
        <v/>
      </c>
      <c r="C789" s="8"/>
      <c r="E789" s="7" t="s">
        <v>25</v>
      </c>
      <c r="F789" s="8" t="s">
        <v>25</v>
      </c>
      <c r="I789" s="7" t="str">
        <f>IF(I788&lt;'Characteristics&amp;Parameters'!$B$17,ConcentrationsCalculations!I788+1,IF(I788="DS Node","",IF(I788="","","DS Node")))</f>
        <v/>
      </c>
      <c r="J789" s="13" t="str">
        <f>IF(I789="DS Node",'Characteristics&amp;Parameters'!$B$8,IF(I789&lt;='Characteristics&amp;Parameters'!$B$17,((1-'Characteristics&amp;Parameters'!$B$19)*ConcentrationsCalculations!F789+'Characteristics&amp;Parameters'!$B$19*ConcentrationsCalculations!F788-F789/86400*'Characteristics&amp;Parameters'!$B$11*'Characteristics&amp;Parameters'!$B$12),""))</f>
        <v/>
      </c>
    </row>
    <row r="790" spans="1:10" x14ac:dyDescent="0.5">
      <c r="A790" s="7" t="str">
        <f>IF(A789&lt;'Characteristics&amp;Parameters'!$B$17,ConcentrationsCalculations!A789+1,IF(A789="DS Node","",IF(A789="","","DS Node")))</f>
        <v/>
      </c>
      <c r="B790" s="8" t="str">
        <f>IF(A790&lt;='Characteristics&amp;Parameters'!$B$17,'Characteristics&amp;Parameters'!$B$7,IF(ConcentrationsCalculations!A790="DS Node",'Characteristics&amp;Parameters'!$B$8,""))</f>
        <v/>
      </c>
      <c r="C790" s="8"/>
      <c r="E790" s="7" t="s">
        <v>25</v>
      </c>
      <c r="F790" s="8" t="s">
        <v>25</v>
      </c>
      <c r="I790" s="7" t="str">
        <f>IF(I789&lt;'Characteristics&amp;Parameters'!$B$17,ConcentrationsCalculations!I789+1,IF(I789="DS Node","",IF(I789="","","DS Node")))</f>
        <v/>
      </c>
      <c r="J790" s="13" t="str">
        <f>IF(I790="DS Node",'Characteristics&amp;Parameters'!$B$8,IF(I790&lt;='Characteristics&amp;Parameters'!$B$17,((1-'Characteristics&amp;Parameters'!$B$19)*ConcentrationsCalculations!F790+'Characteristics&amp;Parameters'!$B$19*ConcentrationsCalculations!F789-F790/86400*'Characteristics&amp;Parameters'!$B$11*'Characteristics&amp;Parameters'!$B$12),""))</f>
        <v/>
      </c>
    </row>
    <row r="791" spans="1:10" x14ac:dyDescent="0.5">
      <c r="A791" s="7" t="str">
        <f>IF(A790&lt;'Characteristics&amp;Parameters'!$B$17,ConcentrationsCalculations!A790+1,IF(A790="DS Node","",IF(A790="","","DS Node")))</f>
        <v/>
      </c>
      <c r="B791" s="8" t="str">
        <f>IF(A791&lt;='Characteristics&amp;Parameters'!$B$17,'Characteristics&amp;Parameters'!$B$7,IF(ConcentrationsCalculations!A791="DS Node",'Characteristics&amp;Parameters'!$B$8,""))</f>
        <v/>
      </c>
      <c r="C791" s="8"/>
      <c r="E791" s="7" t="s">
        <v>25</v>
      </c>
      <c r="F791" s="8" t="s">
        <v>25</v>
      </c>
      <c r="I791" s="7" t="str">
        <f>IF(I790&lt;'Characteristics&amp;Parameters'!$B$17,ConcentrationsCalculations!I790+1,IF(I790="DS Node","",IF(I790="","","DS Node")))</f>
        <v/>
      </c>
      <c r="J791" s="13" t="str">
        <f>IF(I791="DS Node",'Characteristics&amp;Parameters'!$B$8,IF(I791&lt;='Characteristics&amp;Parameters'!$B$17,((1-'Characteristics&amp;Parameters'!$B$19)*ConcentrationsCalculations!F791+'Characteristics&amp;Parameters'!$B$19*ConcentrationsCalculations!F790-F791/86400*'Characteristics&amp;Parameters'!$B$11*'Characteristics&amp;Parameters'!$B$12),""))</f>
        <v/>
      </c>
    </row>
    <row r="792" spans="1:10" x14ac:dyDescent="0.5">
      <c r="A792" s="7" t="str">
        <f>IF(A791&lt;'Characteristics&amp;Parameters'!$B$17,ConcentrationsCalculations!A791+1,IF(A791="DS Node","",IF(A791="","","DS Node")))</f>
        <v/>
      </c>
      <c r="B792" s="8" t="str">
        <f>IF(A792&lt;='Characteristics&amp;Parameters'!$B$17,'Characteristics&amp;Parameters'!$B$7,IF(ConcentrationsCalculations!A792="DS Node",'Characteristics&amp;Parameters'!$B$8,""))</f>
        <v/>
      </c>
      <c r="C792" s="8"/>
      <c r="E792" s="7" t="s">
        <v>25</v>
      </c>
      <c r="F792" s="8" t="s">
        <v>25</v>
      </c>
      <c r="I792" s="7" t="str">
        <f>IF(I791&lt;'Characteristics&amp;Parameters'!$B$17,ConcentrationsCalculations!I791+1,IF(I791="DS Node","",IF(I791="","","DS Node")))</f>
        <v/>
      </c>
      <c r="J792" s="13" t="str">
        <f>IF(I792="DS Node",'Characteristics&amp;Parameters'!$B$8,IF(I792&lt;='Characteristics&amp;Parameters'!$B$17,((1-'Characteristics&amp;Parameters'!$B$19)*ConcentrationsCalculations!F792+'Characteristics&amp;Parameters'!$B$19*ConcentrationsCalculations!F791-F792/86400*'Characteristics&amp;Parameters'!$B$11*'Characteristics&amp;Parameters'!$B$12),""))</f>
        <v/>
      </c>
    </row>
    <row r="793" spans="1:10" x14ac:dyDescent="0.5">
      <c r="A793" s="7" t="str">
        <f>IF(A792&lt;'Characteristics&amp;Parameters'!$B$17,ConcentrationsCalculations!A792+1,IF(A792="DS Node","",IF(A792="","","DS Node")))</f>
        <v/>
      </c>
      <c r="B793" s="8" t="str">
        <f>IF(A793&lt;='Characteristics&amp;Parameters'!$B$17,'Characteristics&amp;Parameters'!$B$7,IF(ConcentrationsCalculations!A793="DS Node",'Characteristics&amp;Parameters'!$B$8,""))</f>
        <v/>
      </c>
      <c r="C793" s="8"/>
      <c r="E793" s="7" t="s">
        <v>25</v>
      </c>
      <c r="F793" s="8" t="s">
        <v>25</v>
      </c>
      <c r="I793" s="7" t="str">
        <f>IF(I792&lt;'Characteristics&amp;Parameters'!$B$17,ConcentrationsCalculations!I792+1,IF(I792="DS Node","",IF(I792="","","DS Node")))</f>
        <v/>
      </c>
      <c r="J793" s="13" t="str">
        <f>IF(I793="DS Node",'Characteristics&amp;Parameters'!$B$8,IF(I793&lt;='Characteristics&amp;Parameters'!$B$17,((1-'Characteristics&amp;Parameters'!$B$19)*ConcentrationsCalculations!F793+'Characteristics&amp;Parameters'!$B$19*ConcentrationsCalculations!F792-F793/86400*'Characteristics&amp;Parameters'!$B$11*'Characteristics&amp;Parameters'!$B$12),""))</f>
        <v/>
      </c>
    </row>
    <row r="794" spans="1:10" x14ac:dyDescent="0.5">
      <c r="A794" s="7" t="str">
        <f>IF(A793&lt;'Characteristics&amp;Parameters'!$B$17,ConcentrationsCalculations!A793+1,IF(A793="DS Node","",IF(A793="","","DS Node")))</f>
        <v/>
      </c>
      <c r="B794" s="8" t="str">
        <f>IF(A794&lt;='Characteristics&amp;Parameters'!$B$17,'Characteristics&amp;Parameters'!$B$7,IF(ConcentrationsCalculations!A794="DS Node",'Characteristics&amp;Parameters'!$B$8,""))</f>
        <v/>
      </c>
      <c r="C794" s="8"/>
      <c r="E794" s="7" t="s">
        <v>25</v>
      </c>
      <c r="F794" s="8" t="s">
        <v>25</v>
      </c>
      <c r="I794" s="7" t="str">
        <f>IF(I793&lt;'Characteristics&amp;Parameters'!$B$17,ConcentrationsCalculations!I793+1,IF(I793="DS Node","",IF(I793="","","DS Node")))</f>
        <v/>
      </c>
      <c r="J794" s="13" t="str">
        <f>IF(I794="DS Node",'Characteristics&amp;Parameters'!$B$8,IF(I794&lt;='Characteristics&amp;Parameters'!$B$17,((1-'Characteristics&amp;Parameters'!$B$19)*ConcentrationsCalculations!F794+'Characteristics&amp;Parameters'!$B$19*ConcentrationsCalculations!F793-F794/86400*'Characteristics&amp;Parameters'!$B$11*'Characteristics&amp;Parameters'!$B$12),""))</f>
        <v/>
      </c>
    </row>
    <row r="795" spans="1:10" x14ac:dyDescent="0.5">
      <c r="A795" s="7" t="str">
        <f>IF(A794&lt;'Characteristics&amp;Parameters'!$B$17,ConcentrationsCalculations!A794+1,IF(A794="DS Node","",IF(A794="","","DS Node")))</f>
        <v/>
      </c>
      <c r="B795" s="8" t="str">
        <f>IF(A795&lt;='Characteristics&amp;Parameters'!$B$17,'Characteristics&amp;Parameters'!$B$7,IF(ConcentrationsCalculations!A795="DS Node",'Characteristics&amp;Parameters'!$B$8,""))</f>
        <v/>
      </c>
      <c r="C795" s="8"/>
      <c r="E795" s="7" t="s">
        <v>25</v>
      </c>
      <c r="F795" s="8" t="s">
        <v>25</v>
      </c>
      <c r="I795" s="7" t="str">
        <f>IF(I794&lt;'Characteristics&amp;Parameters'!$B$17,ConcentrationsCalculations!I794+1,IF(I794="DS Node","",IF(I794="","","DS Node")))</f>
        <v/>
      </c>
      <c r="J795" s="13" t="str">
        <f>IF(I795="DS Node",'Characteristics&amp;Parameters'!$B$8,IF(I795&lt;='Characteristics&amp;Parameters'!$B$17,((1-'Characteristics&amp;Parameters'!$B$19)*ConcentrationsCalculations!F795+'Characteristics&amp;Parameters'!$B$19*ConcentrationsCalculations!F794-F795/86400*'Characteristics&amp;Parameters'!$B$11*'Characteristics&amp;Parameters'!$B$12),""))</f>
        <v/>
      </c>
    </row>
    <row r="796" spans="1:10" x14ac:dyDescent="0.5">
      <c r="A796" s="7" t="str">
        <f>IF(A795&lt;'Characteristics&amp;Parameters'!$B$17,ConcentrationsCalculations!A795+1,IF(A795="DS Node","",IF(A795="","","DS Node")))</f>
        <v/>
      </c>
      <c r="B796" s="8" t="str">
        <f>IF(A796&lt;='Characteristics&amp;Parameters'!$B$17,'Characteristics&amp;Parameters'!$B$7,IF(ConcentrationsCalculations!A796="DS Node",'Characteristics&amp;Parameters'!$B$8,""))</f>
        <v/>
      </c>
      <c r="C796" s="8"/>
      <c r="E796" s="7" t="s">
        <v>25</v>
      </c>
      <c r="F796" s="8" t="s">
        <v>25</v>
      </c>
      <c r="I796" s="7" t="str">
        <f>IF(I795&lt;'Characteristics&amp;Parameters'!$B$17,ConcentrationsCalculations!I795+1,IF(I795="DS Node","",IF(I795="","","DS Node")))</f>
        <v/>
      </c>
      <c r="J796" s="13" t="str">
        <f>IF(I796="DS Node",'Characteristics&amp;Parameters'!$B$8,IF(I796&lt;='Characteristics&amp;Parameters'!$B$17,((1-'Characteristics&amp;Parameters'!$B$19)*ConcentrationsCalculations!F796+'Characteristics&amp;Parameters'!$B$19*ConcentrationsCalculations!F795-F796/86400*'Characteristics&amp;Parameters'!$B$11*'Characteristics&amp;Parameters'!$B$12),""))</f>
        <v/>
      </c>
    </row>
    <row r="797" spans="1:10" x14ac:dyDescent="0.5">
      <c r="A797" s="7" t="str">
        <f>IF(A796&lt;'Characteristics&amp;Parameters'!$B$17,ConcentrationsCalculations!A796+1,IF(A796="DS Node","",IF(A796="","","DS Node")))</f>
        <v/>
      </c>
      <c r="B797" s="8" t="str">
        <f>IF(A797&lt;='Characteristics&amp;Parameters'!$B$17,'Characteristics&amp;Parameters'!$B$7,IF(ConcentrationsCalculations!A797="DS Node",'Characteristics&amp;Parameters'!$B$8,""))</f>
        <v/>
      </c>
      <c r="C797" s="8"/>
      <c r="E797" s="7" t="s">
        <v>25</v>
      </c>
      <c r="F797" s="8" t="s">
        <v>25</v>
      </c>
      <c r="I797" s="7" t="str">
        <f>IF(I796&lt;'Characteristics&amp;Parameters'!$B$17,ConcentrationsCalculations!I796+1,IF(I796="DS Node","",IF(I796="","","DS Node")))</f>
        <v/>
      </c>
      <c r="J797" s="13" t="str">
        <f>IF(I797="DS Node",'Characteristics&amp;Parameters'!$B$8,IF(I797&lt;='Characteristics&amp;Parameters'!$B$17,((1-'Characteristics&amp;Parameters'!$B$19)*ConcentrationsCalculations!F797+'Characteristics&amp;Parameters'!$B$19*ConcentrationsCalculations!F796-F797/86400*'Characteristics&amp;Parameters'!$B$11*'Characteristics&amp;Parameters'!$B$12),""))</f>
        <v/>
      </c>
    </row>
    <row r="798" spans="1:10" x14ac:dyDescent="0.5">
      <c r="A798" s="7" t="str">
        <f>IF(A797&lt;'Characteristics&amp;Parameters'!$B$17,ConcentrationsCalculations!A797+1,IF(A797="DS Node","",IF(A797="","","DS Node")))</f>
        <v/>
      </c>
      <c r="B798" s="8" t="str">
        <f>IF(A798&lt;='Characteristics&amp;Parameters'!$B$17,'Characteristics&amp;Parameters'!$B$7,IF(ConcentrationsCalculations!A798="DS Node",'Characteristics&amp;Parameters'!$B$8,""))</f>
        <v/>
      </c>
      <c r="C798" s="8"/>
      <c r="E798" s="7" t="s">
        <v>25</v>
      </c>
      <c r="F798" s="8" t="s">
        <v>25</v>
      </c>
      <c r="I798" s="7" t="str">
        <f>IF(I797&lt;'Characteristics&amp;Parameters'!$B$17,ConcentrationsCalculations!I797+1,IF(I797="DS Node","",IF(I797="","","DS Node")))</f>
        <v/>
      </c>
      <c r="J798" s="13" t="str">
        <f>IF(I798="DS Node",'Characteristics&amp;Parameters'!$B$8,IF(I798&lt;='Characteristics&amp;Parameters'!$B$17,((1-'Characteristics&amp;Parameters'!$B$19)*ConcentrationsCalculations!F798+'Characteristics&amp;Parameters'!$B$19*ConcentrationsCalculations!F797-F798/86400*'Characteristics&amp;Parameters'!$B$11*'Characteristics&amp;Parameters'!$B$12),""))</f>
        <v/>
      </c>
    </row>
    <row r="799" spans="1:10" x14ac:dyDescent="0.5">
      <c r="A799" s="7" t="str">
        <f>IF(A798&lt;'Characteristics&amp;Parameters'!$B$17,ConcentrationsCalculations!A798+1,IF(A798="DS Node","",IF(A798="","","DS Node")))</f>
        <v/>
      </c>
      <c r="B799" s="8" t="str">
        <f>IF(A799&lt;='Characteristics&amp;Parameters'!$B$17,'Characteristics&amp;Parameters'!$B$7,IF(ConcentrationsCalculations!A799="DS Node",'Characteristics&amp;Parameters'!$B$8,""))</f>
        <v/>
      </c>
      <c r="C799" s="8"/>
      <c r="E799" s="7" t="s">
        <v>25</v>
      </c>
      <c r="F799" s="8" t="s">
        <v>25</v>
      </c>
      <c r="I799" s="7" t="str">
        <f>IF(I798&lt;'Characteristics&amp;Parameters'!$B$17,ConcentrationsCalculations!I798+1,IF(I798="DS Node","",IF(I798="","","DS Node")))</f>
        <v/>
      </c>
      <c r="J799" s="13" t="str">
        <f>IF(I799="DS Node",'Characteristics&amp;Parameters'!$B$8,IF(I799&lt;='Characteristics&amp;Parameters'!$B$17,((1-'Characteristics&amp;Parameters'!$B$19)*ConcentrationsCalculations!F799+'Characteristics&amp;Parameters'!$B$19*ConcentrationsCalculations!F798-F799/86400*'Characteristics&amp;Parameters'!$B$11*'Characteristics&amp;Parameters'!$B$12),""))</f>
        <v/>
      </c>
    </row>
    <row r="800" spans="1:10" x14ac:dyDescent="0.5">
      <c r="A800" s="7" t="str">
        <f>IF(A799&lt;'Characteristics&amp;Parameters'!$B$17,ConcentrationsCalculations!A799+1,IF(A799="DS Node","",IF(A799="","","DS Node")))</f>
        <v/>
      </c>
      <c r="B800" s="8" t="str">
        <f>IF(A800&lt;='Characteristics&amp;Parameters'!$B$17,'Characteristics&amp;Parameters'!$B$7,IF(ConcentrationsCalculations!A800="DS Node",'Characteristics&amp;Parameters'!$B$8,""))</f>
        <v/>
      </c>
      <c r="C800" s="8"/>
      <c r="E800" s="7" t="s">
        <v>25</v>
      </c>
      <c r="F800" s="8" t="s">
        <v>25</v>
      </c>
      <c r="I800" s="7" t="str">
        <f>IF(I799&lt;'Characteristics&amp;Parameters'!$B$17,ConcentrationsCalculations!I799+1,IF(I799="DS Node","",IF(I799="","","DS Node")))</f>
        <v/>
      </c>
      <c r="J800" s="13" t="str">
        <f>IF(I800="DS Node",'Characteristics&amp;Parameters'!$B$8,IF(I800&lt;='Characteristics&amp;Parameters'!$B$17,((1-'Characteristics&amp;Parameters'!$B$19)*ConcentrationsCalculations!F800+'Characteristics&amp;Parameters'!$B$19*ConcentrationsCalculations!F799-F800/86400*'Characteristics&amp;Parameters'!$B$11*'Characteristics&amp;Parameters'!$B$12),""))</f>
        <v/>
      </c>
    </row>
    <row r="801" spans="1:10" x14ac:dyDescent="0.5">
      <c r="A801" s="7" t="str">
        <f>IF(A800&lt;'Characteristics&amp;Parameters'!$B$17,ConcentrationsCalculations!A800+1,IF(A800="DS Node","",IF(A800="","","DS Node")))</f>
        <v/>
      </c>
      <c r="B801" s="8" t="str">
        <f>IF(A801&lt;='Characteristics&amp;Parameters'!$B$17,'Characteristics&amp;Parameters'!$B$7,IF(ConcentrationsCalculations!A801="DS Node",'Characteristics&amp;Parameters'!$B$8,""))</f>
        <v/>
      </c>
      <c r="C801" s="8"/>
      <c r="E801" s="7" t="s">
        <v>25</v>
      </c>
      <c r="F801" s="8" t="s">
        <v>25</v>
      </c>
      <c r="I801" s="7" t="str">
        <f>IF(I800&lt;'Characteristics&amp;Parameters'!$B$17,ConcentrationsCalculations!I800+1,IF(I800="DS Node","",IF(I800="","","DS Node")))</f>
        <v/>
      </c>
      <c r="J801" s="13" t="str">
        <f>IF(I801="DS Node",'Characteristics&amp;Parameters'!$B$8,IF(I801&lt;='Characteristics&amp;Parameters'!$B$17,((1-'Characteristics&amp;Parameters'!$B$19)*ConcentrationsCalculations!F801+'Characteristics&amp;Parameters'!$B$19*ConcentrationsCalculations!F800-F801/86400*'Characteristics&amp;Parameters'!$B$11*'Characteristics&amp;Parameters'!$B$12),""))</f>
        <v/>
      </c>
    </row>
    <row r="802" spans="1:10" x14ac:dyDescent="0.5">
      <c r="A802" s="7" t="str">
        <f>IF(A801&lt;'Characteristics&amp;Parameters'!$B$17,ConcentrationsCalculations!A801+1,IF(A801="DS Node","",IF(A801="","","DS Node")))</f>
        <v/>
      </c>
      <c r="B802" s="8" t="str">
        <f>IF(A802&lt;='Characteristics&amp;Parameters'!$B$17,'Characteristics&amp;Parameters'!$B$7,IF(ConcentrationsCalculations!A802="DS Node",'Characteristics&amp;Parameters'!$B$8,""))</f>
        <v/>
      </c>
      <c r="C802" s="8"/>
      <c r="E802" s="7" t="s">
        <v>25</v>
      </c>
      <c r="F802" s="8" t="s">
        <v>25</v>
      </c>
      <c r="I802" s="7" t="str">
        <f>IF(I801&lt;'Characteristics&amp;Parameters'!$B$17,ConcentrationsCalculations!I801+1,IF(I801="DS Node","",IF(I801="","","DS Node")))</f>
        <v/>
      </c>
      <c r="J802" s="13" t="str">
        <f>IF(I802="DS Node",'Characteristics&amp;Parameters'!$B$8,IF(I802&lt;='Characteristics&amp;Parameters'!$B$17,((1-'Characteristics&amp;Parameters'!$B$19)*ConcentrationsCalculations!F802+'Characteristics&amp;Parameters'!$B$19*ConcentrationsCalculations!F801-F802/86400*'Characteristics&amp;Parameters'!$B$11*'Characteristics&amp;Parameters'!$B$12),""))</f>
        <v/>
      </c>
    </row>
    <row r="803" spans="1:10" x14ac:dyDescent="0.5">
      <c r="A803" s="7" t="str">
        <f>IF(A802&lt;'Characteristics&amp;Parameters'!$B$17,ConcentrationsCalculations!A802+1,IF(A802="DS Node","",IF(A802="","","DS Node")))</f>
        <v/>
      </c>
      <c r="B803" s="8" t="str">
        <f>IF(A803&lt;='Characteristics&amp;Parameters'!$B$17,'Characteristics&amp;Parameters'!$B$7,IF(ConcentrationsCalculations!A803="DS Node",'Characteristics&amp;Parameters'!$B$8,""))</f>
        <v/>
      </c>
      <c r="C803" s="8"/>
      <c r="E803" s="7" t="s">
        <v>25</v>
      </c>
      <c r="F803" s="8" t="s">
        <v>25</v>
      </c>
      <c r="I803" s="7" t="str">
        <f>IF(I802&lt;'Characteristics&amp;Parameters'!$B$17,ConcentrationsCalculations!I802+1,IF(I802="DS Node","",IF(I802="","","DS Node")))</f>
        <v/>
      </c>
      <c r="J803" s="13" t="str">
        <f>IF(I803="DS Node",'Characteristics&amp;Parameters'!$B$8,IF(I803&lt;='Characteristics&amp;Parameters'!$B$17,((1-'Characteristics&amp;Parameters'!$B$19)*ConcentrationsCalculations!F803+'Characteristics&amp;Parameters'!$B$19*ConcentrationsCalculations!F802-F803/86400*'Characteristics&amp;Parameters'!$B$11*'Characteristics&amp;Parameters'!$B$12),""))</f>
        <v/>
      </c>
    </row>
    <row r="804" spans="1:10" x14ac:dyDescent="0.5">
      <c r="A804" s="7" t="str">
        <f>IF(A803&lt;'Characteristics&amp;Parameters'!$B$17,ConcentrationsCalculations!A803+1,IF(A803="DS Node","",IF(A803="","","DS Node")))</f>
        <v/>
      </c>
      <c r="B804" s="8" t="str">
        <f>IF(A804&lt;='Characteristics&amp;Parameters'!$B$17,'Characteristics&amp;Parameters'!$B$7,IF(ConcentrationsCalculations!A804="DS Node",'Characteristics&amp;Parameters'!$B$8,""))</f>
        <v/>
      </c>
      <c r="C804" s="8"/>
      <c r="E804" s="7" t="s">
        <v>25</v>
      </c>
      <c r="F804" s="8" t="s">
        <v>25</v>
      </c>
      <c r="I804" s="7" t="str">
        <f>IF(I803&lt;'Characteristics&amp;Parameters'!$B$17,ConcentrationsCalculations!I803+1,IF(I803="DS Node","",IF(I803="","","DS Node")))</f>
        <v/>
      </c>
      <c r="J804" s="13" t="str">
        <f>IF(I804="DS Node",'Characteristics&amp;Parameters'!$B$8,IF(I804&lt;='Characteristics&amp;Parameters'!$B$17,((1-'Characteristics&amp;Parameters'!$B$19)*ConcentrationsCalculations!F804+'Characteristics&amp;Parameters'!$B$19*ConcentrationsCalculations!F803-F804/86400*'Characteristics&amp;Parameters'!$B$11*'Characteristics&amp;Parameters'!$B$12),""))</f>
        <v/>
      </c>
    </row>
    <row r="805" spans="1:10" x14ac:dyDescent="0.5">
      <c r="A805" s="7" t="str">
        <f>IF(A804&lt;'Characteristics&amp;Parameters'!$B$17,ConcentrationsCalculations!A804+1,IF(A804="DS Node","",IF(A804="","","DS Node")))</f>
        <v/>
      </c>
      <c r="B805" s="8" t="str">
        <f>IF(A805&lt;='Characteristics&amp;Parameters'!$B$17,'Characteristics&amp;Parameters'!$B$7,IF(ConcentrationsCalculations!A805="DS Node",'Characteristics&amp;Parameters'!$B$8,""))</f>
        <v/>
      </c>
      <c r="C805" s="8"/>
      <c r="E805" s="7" t="s">
        <v>25</v>
      </c>
      <c r="F805" s="8" t="s">
        <v>25</v>
      </c>
      <c r="I805" s="7" t="str">
        <f>IF(I804&lt;'Characteristics&amp;Parameters'!$B$17,ConcentrationsCalculations!I804+1,IF(I804="DS Node","",IF(I804="","","DS Node")))</f>
        <v/>
      </c>
      <c r="J805" s="13" t="str">
        <f>IF(I805="DS Node",'Characteristics&amp;Parameters'!$B$8,IF(I805&lt;='Characteristics&amp;Parameters'!$B$17,((1-'Characteristics&amp;Parameters'!$B$19)*ConcentrationsCalculations!F805+'Characteristics&amp;Parameters'!$B$19*ConcentrationsCalculations!F804-F805/86400*'Characteristics&amp;Parameters'!$B$11*'Characteristics&amp;Parameters'!$B$12),""))</f>
        <v/>
      </c>
    </row>
    <row r="806" spans="1:10" x14ac:dyDescent="0.5">
      <c r="A806" s="7" t="str">
        <f>IF(A805&lt;'Characteristics&amp;Parameters'!$B$17,ConcentrationsCalculations!A805+1,IF(A805="DS Node","",IF(A805="","","DS Node")))</f>
        <v/>
      </c>
      <c r="B806" s="8" t="str">
        <f>IF(A806&lt;='Characteristics&amp;Parameters'!$B$17,'Characteristics&amp;Parameters'!$B$7,IF(ConcentrationsCalculations!A806="DS Node",'Characteristics&amp;Parameters'!$B$8,""))</f>
        <v/>
      </c>
      <c r="C806" s="8"/>
      <c r="E806" s="7" t="s">
        <v>25</v>
      </c>
      <c r="F806" s="8" t="s">
        <v>25</v>
      </c>
      <c r="I806" s="7" t="str">
        <f>IF(I805&lt;'Characteristics&amp;Parameters'!$B$17,ConcentrationsCalculations!I805+1,IF(I805="DS Node","",IF(I805="","","DS Node")))</f>
        <v/>
      </c>
      <c r="J806" s="13" t="str">
        <f>IF(I806="DS Node",'Characteristics&amp;Parameters'!$B$8,IF(I806&lt;='Characteristics&amp;Parameters'!$B$17,((1-'Characteristics&amp;Parameters'!$B$19)*ConcentrationsCalculations!F806+'Characteristics&amp;Parameters'!$B$19*ConcentrationsCalculations!F805-F806/86400*'Characteristics&amp;Parameters'!$B$11*'Characteristics&amp;Parameters'!$B$12),""))</f>
        <v/>
      </c>
    </row>
    <row r="807" spans="1:10" x14ac:dyDescent="0.5">
      <c r="A807" s="7" t="str">
        <f>IF(A806&lt;'Characteristics&amp;Parameters'!$B$17,ConcentrationsCalculations!A806+1,IF(A806="DS Node","",IF(A806="","","DS Node")))</f>
        <v/>
      </c>
      <c r="B807" s="8" t="str">
        <f>IF(A807&lt;='Characteristics&amp;Parameters'!$B$17,'Characteristics&amp;Parameters'!$B$7,IF(ConcentrationsCalculations!A807="DS Node",'Characteristics&amp;Parameters'!$B$8,""))</f>
        <v/>
      </c>
      <c r="C807" s="8"/>
      <c r="E807" s="7" t="s">
        <v>25</v>
      </c>
      <c r="F807" s="8" t="s">
        <v>25</v>
      </c>
      <c r="I807" s="7" t="str">
        <f>IF(I806&lt;'Characteristics&amp;Parameters'!$B$17,ConcentrationsCalculations!I806+1,IF(I806="DS Node","",IF(I806="","","DS Node")))</f>
        <v/>
      </c>
      <c r="J807" s="13" t="str">
        <f>IF(I807="DS Node",'Characteristics&amp;Parameters'!$B$8,IF(I807&lt;='Characteristics&amp;Parameters'!$B$17,((1-'Characteristics&amp;Parameters'!$B$19)*ConcentrationsCalculations!F807+'Characteristics&amp;Parameters'!$B$19*ConcentrationsCalculations!F806-F807/86400*'Characteristics&amp;Parameters'!$B$11*'Characteristics&amp;Parameters'!$B$12),""))</f>
        <v/>
      </c>
    </row>
    <row r="808" spans="1:10" x14ac:dyDescent="0.5">
      <c r="A808" s="7" t="str">
        <f>IF(A807&lt;'Characteristics&amp;Parameters'!$B$17,ConcentrationsCalculations!A807+1,IF(A807="DS Node","",IF(A807="","","DS Node")))</f>
        <v/>
      </c>
      <c r="B808" s="8" t="str">
        <f>IF(A808&lt;='Characteristics&amp;Parameters'!$B$17,'Characteristics&amp;Parameters'!$B$7,IF(ConcentrationsCalculations!A808="DS Node",'Characteristics&amp;Parameters'!$B$8,""))</f>
        <v/>
      </c>
      <c r="C808" s="8"/>
      <c r="E808" s="7" t="s">
        <v>25</v>
      </c>
      <c r="F808" s="8" t="s">
        <v>25</v>
      </c>
      <c r="I808" s="7" t="str">
        <f>IF(I807&lt;'Characteristics&amp;Parameters'!$B$17,ConcentrationsCalculations!I807+1,IF(I807="DS Node","",IF(I807="","","DS Node")))</f>
        <v/>
      </c>
      <c r="J808" s="13" t="str">
        <f>IF(I808="DS Node",'Characteristics&amp;Parameters'!$B$8,IF(I808&lt;='Characteristics&amp;Parameters'!$B$17,((1-'Characteristics&amp;Parameters'!$B$19)*ConcentrationsCalculations!F808+'Characteristics&amp;Parameters'!$B$19*ConcentrationsCalculations!F807-F808/86400*'Characteristics&amp;Parameters'!$B$11*'Characteristics&amp;Parameters'!$B$12),""))</f>
        <v/>
      </c>
    </row>
    <row r="809" spans="1:10" x14ac:dyDescent="0.5">
      <c r="A809" s="7" t="str">
        <f>IF(A808&lt;'Characteristics&amp;Parameters'!$B$17,ConcentrationsCalculations!A808+1,IF(A808="DS Node","",IF(A808="","","DS Node")))</f>
        <v/>
      </c>
      <c r="B809" s="8" t="str">
        <f>IF(A809&lt;='Characteristics&amp;Parameters'!$B$17,'Characteristics&amp;Parameters'!$B$7,IF(ConcentrationsCalculations!A809="DS Node",'Characteristics&amp;Parameters'!$B$8,""))</f>
        <v/>
      </c>
      <c r="C809" s="8"/>
      <c r="E809" s="7" t="s">
        <v>25</v>
      </c>
      <c r="F809" s="8" t="s">
        <v>25</v>
      </c>
      <c r="I809" s="7" t="str">
        <f>IF(I808&lt;'Characteristics&amp;Parameters'!$B$17,ConcentrationsCalculations!I808+1,IF(I808="DS Node","",IF(I808="","","DS Node")))</f>
        <v/>
      </c>
      <c r="J809" s="13" t="str">
        <f>IF(I809="DS Node",'Characteristics&amp;Parameters'!$B$8,IF(I809&lt;='Characteristics&amp;Parameters'!$B$17,((1-'Characteristics&amp;Parameters'!$B$19)*ConcentrationsCalculations!F809+'Characteristics&amp;Parameters'!$B$19*ConcentrationsCalculations!F808-F809/86400*'Characteristics&amp;Parameters'!$B$11*'Characteristics&amp;Parameters'!$B$12),""))</f>
        <v/>
      </c>
    </row>
    <row r="810" spans="1:10" x14ac:dyDescent="0.5">
      <c r="A810" s="7" t="str">
        <f>IF(A809&lt;'Characteristics&amp;Parameters'!$B$17,ConcentrationsCalculations!A809+1,IF(A809="DS Node","",IF(A809="","","DS Node")))</f>
        <v/>
      </c>
      <c r="B810" s="8" t="str">
        <f>IF(A810&lt;='Characteristics&amp;Parameters'!$B$17,'Characteristics&amp;Parameters'!$B$7,IF(ConcentrationsCalculations!A810="DS Node",'Characteristics&amp;Parameters'!$B$8,""))</f>
        <v/>
      </c>
      <c r="C810" s="8"/>
      <c r="E810" s="7" t="s">
        <v>25</v>
      </c>
      <c r="F810" s="8" t="s">
        <v>25</v>
      </c>
      <c r="I810" s="7" t="str">
        <f>IF(I809&lt;'Characteristics&amp;Parameters'!$B$17,ConcentrationsCalculations!I809+1,IF(I809="DS Node","",IF(I809="","","DS Node")))</f>
        <v/>
      </c>
      <c r="J810" s="13" t="str">
        <f>IF(I810="DS Node",'Characteristics&amp;Parameters'!$B$8,IF(I810&lt;='Characteristics&amp;Parameters'!$B$17,((1-'Characteristics&amp;Parameters'!$B$19)*ConcentrationsCalculations!F810+'Characteristics&amp;Parameters'!$B$19*ConcentrationsCalculations!F809-F810/86400*'Characteristics&amp;Parameters'!$B$11*'Characteristics&amp;Parameters'!$B$12),""))</f>
        <v/>
      </c>
    </row>
    <row r="811" spans="1:10" x14ac:dyDescent="0.5">
      <c r="A811" s="7" t="str">
        <f>IF(A810&lt;'Characteristics&amp;Parameters'!$B$17,ConcentrationsCalculations!A810+1,IF(A810="DS Node","",IF(A810="","","DS Node")))</f>
        <v/>
      </c>
      <c r="B811" s="8" t="str">
        <f>IF(A811&lt;='Characteristics&amp;Parameters'!$B$17,'Characteristics&amp;Parameters'!$B$7,IF(ConcentrationsCalculations!A811="DS Node",'Characteristics&amp;Parameters'!$B$8,""))</f>
        <v/>
      </c>
      <c r="C811" s="8"/>
      <c r="E811" s="7" t="s">
        <v>25</v>
      </c>
      <c r="F811" s="8" t="s">
        <v>25</v>
      </c>
      <c r="I811" s="7" t="str">
        <f>IF(I810&lt;'Characteristics&amp;Parameters'!$B$17,ConcentrationsCalculations!I810+1,IF(I810="DS Node","",IF(I810="","","DS Node")))</f>
        <v/>
      </c>
      <c r="J811" s="13" t="str">
        <f>IF(I811="DS Node",'Characteristics&amp;Parameters'!$B$8,IF(I811&lt;='Characteristics&amp;Parameters'!$B$17,((1-'Characteristics&amp;Parameters'!$B$19)*ConcentrationsCalculations!F811+'Characteristics&amp;Parameters'!$B$19*ConcentrationsCalculations!F810-F811/86400*'Characteristics&amp;Parameters'!$B$11*'Characteristics&amp;Parameters'!$B$12),""))</f>
        <v/>
      </c>
    </row>
    <row r="812" spans="1:10" x14ac:dyDescent="0.5">
      <c r="A812" s="7" t="str">
        <f>IF(A811&lt;'Characteristics&amp;Parameters'!$B$17,ConcentrationsCalculations!A811+1,IF(A811="DS Node","",IF(A811="","","DS Node")))</f>
        <v/>
      </c>
      <c r="B812" s="8" t="str">
        <f>IF(A812&lt;='Characteristics&amp;Parameters'!$B$17,'Characteristics&amp;Parameters'!$B$7,IF(ConcentrationsCalculations!A812="DS Node",'Characteristics&amp;Parameters'!$B$8,""))</f>
        <v/>
      </c>
      <c r="C812" s="8"/>
      <c r="E812" s="7" t="s">
        <v>25</v>
      </c>
      <c r="F812" s="8" t="s">
        <v>25</v>
      </c>
      <c r="I812" s="7" t="str">
        <f>IF(I811&lt;'Characteristics&amp;Parameters'!$B$17,ConcentrationsCalculations!I811+1,IF(I811="DS Node","",IF(I811="","","DS Node")))</f>
        <v/>
      </c>
      <c r="J812" s="13" t="str">
        <f>IF(I812="DS Node",'Characteristics&amp;Parameters'!$B$8,IF(I812&lt;='Characteristics&amp;Parameters'!$B$17,((1-'Characteristics&amp;Parameters'!$B$19)*ConcentrationsCalculations!F812+'Characteristics&amp;Parameters'!$B$19*ConcentrationsCalculations!F811-F812/86400*'Characteristics&amp;Parameters'!$B$11*'Characteristics&amp;Parameters'!$B$12),""))</f>
        <v/>
      </c>
    </row>
    <row r="813" spans="1:10" x14ac:dyDescent="0.5">
      <c r="A813" s="7" t="str">
        <f>IF(A812&lt;'Characteristics&amp;Parameters'!$B$17,ConcentrationsCalculations!A812+1,IF(A812="DS Node","",IF(A812="","","DS Node")))</f>
        <v/>
      </c>
      <c r="B813" s="8" t="str">
        <f>IF(A813&lt;='Characteristics&amp;Parameters'!$B$17,'Characteristics&amp;Parameters'!$B$7,IF(ConcentrationsCalculations!A813="DS Node",'Characteristics&amp;Parameters'!$B$8,""))</f>
        <v/>
      </c>
      <c r="C813" s="8"/>
      <c r="E813" s="7" t="s">
        <v>25</v>
      </c>
      <c r="F813" s="8" t="s">
        <v>25</v>
      </c>
      <c r="I813" s="7" t="str">
        <f>IF(I812&lt;'Characteristics&amp;Parameters'!$B$17,ConcentrationsCalculations!I812+1,IF(I812="DS Node","",IF(I812="","","DS Node")))</f>
        <v/>
      </c>
      <c r="J813" s="13" t="str">
        <f>IF(I813="DS Node",'Characteristics&amp;Parameters'!$B$8,IF(I813&lt;='Characteristics&amp;Parameters'!$B$17,((1-'Characteristics&amp;Parameters'!$B$19)*ConcentrationsCalculations!F813+'Characteristics&amp;Parameters'!$B$19*ConcentrationsCalculations!F812-F813/86400*'Characteristics&amp;Parameters'!$B$11*'Characteristics&amp;Parameters'!$B$12),""))</f>
        <v/>
      </c>
    </row>
    <row r="814" spans="1:10" x14ac:dyDescent="0.5">
      <c r="A814" s="7" t="str">
        <f>IF(A813&lt;'Characteristics&amp;Parameters'!$B$17,ConcentrationsCalculations!A813+1,IF(A813="DS Node","",IF(A813="","","DS Node")))</f>
        <v/>
      </c>
      <c r="B814" s="8" t="str">
        <f>IF(A814&lt;='Characteristics&amp;Parameters'!$B$17,'Characteristics&amp;Parameters'!$B$7,IF(ConcentrationsCalculations!A814="DS Node",'Characteristics&amp;Parameters'!$B$8,""))</f>
        <v/>
      </c>
      <c r="C814" s="8"/>
      <c r="E814" s="7" t="s">
        <v>25</v>
      </c>
      <c r="F814" s="8" t="s">
        <v>25</v>
      </c>
      <c r="I814" s="7" t="str">
        <f>IF(I813&lt;'Characteristics&amp;Parameters'!$B$17,ConcentrationsCalculations!I813+1,IF(I813="DS Node","",IF(I813="","","DS Node")))</f>
        <v/>
      </c>
      <c r="J814" s="13" t="str">
        <f>IF(I814="DS Node",'Characteristics&amp;Parameters'!$B$8,IF(I814&lt;='Characteristics&amp;Parameters'!$B$17,((1-'Characteristics&amp;Parameters'!$B$19)*ConcentrationsCalculations!F814+'Characteristics&amp;Parameters'!$B$19*ConcentrationsCalculations!F813-F814/86400*'Characteristics&amp;Parameters'!$B$11*'Characteristics&amp;Parameters'!$B$12),""))</f>
        <v/>
      </c>
    </row>
    <row r="815" spans="1:10" x14ac:dyDescent="0.5">
      <c r="A815" s="7" t="str">
        <f>IF(A814&lt;'Characteristics&amp;Parameters'!$B$17,ConcentrationsCalculations!A814+1,IF(A814="DS Node","",IF(A814="","","DS Node")))</f>
        <v/>
      </c>
      <c r="B815" s="8" t="str">
        <f>IF(A815&lt;='Characteristics&amp;Parameters'!$B$17,'Characteristics&amp;Parameters'!$B$7,IF(ConcentrationsCalculations!A815="DS Node",'Characteristics&amp;Parameters'!$B$8,""))</f>
        <v/>
      </c>
      <c r="C815" s="8"/>
      <c r="E815" s="7" t="s">
        <v>25</v>
      </c>
      <c r="F815" s="8" t="s">
        <v>25</v>
      </c>
      <c r="I815" s="7" t="str">
        <f>IF(I814&lt;'Characteristics&amp;Parameters'!$B$17,ConcentrationsCalculations!I814+1,IF(I814="DS Node","",IF(I814="","","DS Node")))</f>
        <v/>
      </c>
      <c r="J815" s="13" t="str">
        <f>IF(I815="DS Node",'Characteristics&amp;Parameters'!$B$8,IF(I815&lt;='Characteristics&amp;Parameters'!$B$17,((1-'Characteristics&amp;Parameters'!$B$19)*ConcentrationsCalculations!F815+'Characteristics&amp;Parameters'!$B$19*ConcentrationsCalculations!F814-F815/86400*'Characteristics&amp;Parameters'!$B$11*'Characteristics&amp;Parameters'!$B$12),""))</f>
        <v/>
      </c>
    </row>
    <row r="816" spans="1:10" x14ac:dyDescent="0.5">
      <c r="A816" s="7" t="str">
        <f>IF(A815&lt;'Characteristics&amp;Parameters'!$B$17,ConcentrationsCalculations!A815+1,IF(A815="DS Node","",IF(A815="","","DS Node")))</f>
        <v/>
      </c>
      <c r="B816" s="8" t="str">
        <f>IF(A816&lt;='Characteristics&amp;Parameters'!$B$17,'Characteristics&amp;Parameters'!$B$7,IF(ConcentrationsCalculations!A816="DS Node",'Characteristics&amp;Parameters'!$B$8,""))</f>
        <v/>
      </c>
      <c r="C816" s="8"/>
      <c r="E816" s="7" t="s">
        <v>25</v>
      </c>
      <c r="F816" s="8" t="s">
        <v>25</v>
      </c>
      <c r="I816" s="7" t="str">
        <f>IF(I815&lt;'Characteristics&amp;Parameters'!$B$17,ConcentrationsCalculations!I815+1,IF(I815="DS Node","",IF(I815="","","DS Node")))</f>
        <v/>
      </c>
      <c r="J816" s="13" t="str">
        <f>IF(I816="DS Node",'Characteristics&amp;Parameters'!$B$8,IF(I816&lt;='Characteristics&amp;Parameters'!$B$17,((1-'Characteristics&amp;Parameters'!$B$19)*ConcentrationsCalculations!F816+'Characteristics&amp;Parameters'!$B$19*ConcentrationsCalculations!F815-F816/86400*'Characteristics&amp;Parameters'!$B$11*'Characteristics&amp;Parameters'!$B$12),""))</f>
        <v/>
      </c>
    </row>
    <row r="817" spans="1:10" x14ac:dyDescent="0.5">
      <c r="A817" s="7" t="str">
        <f>IF(A816&lt;'Characteristics&amp;Parameters'!$B$17,ConcentrationsCalculations!A816+1,IF(A816="DS Node","",IF(A816="","","DS Node")))</f>
        <v/>
      </c>
      <c r="B817" s="8" t="str">
        <f>IF(A817&lt;='Characteristics&amp;Parameters'!$B$17,'Characteristics&amp;Parameters'!$B$7,IF(ConcentrationsCalculations!A817="DS Node",'Characteristics&amp;Parameters'!$B$8,""))</f>
        <v/>
      </c>
      <c r="C817" s="8"/>
      <c r="E817" s="7" t="s">
        <v>25</v>
      </c>
      <c r="F817" s="8" t="s">
        <v>25</v>
      </c>
      <c r="I817" s="7" t="str">
        <f>IF(I816&lt;'Characteristics&amp;Parameters'!$B$17,ConcentrationsCalculations!I816+1,IF(I816="DS Node","",IF(I816="","","DS Node")))</f>
        <v/>
      </c>
      <c r="J817" s="13" t="str">
        <f>IF(I817="DS Node",'Characteristics&amp;Parameters'!$B$8,IF(I817&lt;='Characteristics&amp;Parameters'!$B$17,((1-'Characteristics&amp;Parameters'!$B$19)*ConcentrationsCalculations!F817+'Characteristics&amp;Parameters'!$B$19*ConcentrationsCalculations!F816-F817/86400*'Characteristics&amp;Parameters'!$B$11*'Characteristics&amp;Parameters'!$B$12),""))</f>
        <v/>
      </c>
    </row>
    <row r="818" spans="1:10" x14ac:dyDescent="0.5">
      <c r="A818" s="7" t="str">
        <f>IF(A817&lt;'Characteristics&amp;Parameters'!$B$17,ConcentrationsCalculations!A817+1,IF(A817="DS Node","",IF(A817="","","DS Node")))</f>
        <v/>
      </c>
      <c r="B818" s="8" t="str">
        <f>IF(A818&lt;='Characteristics&amp;Parameters'!$B$17,'Characteristics&amp;Parameters'!$B$7,IF(ConcentrationsCalculations!A818="DS Node",'Characteristics&amp;Parameters'!$B$8,""))</f>
        <v/>
      </c>
      <c r="C818" s="8"/>
      <c r="E818" s="7" t="s">
        <v>25</v>
      </c>
      <c r="F818" s="8" t="s">
        <v>25</v>
      </c>
      <c r="I818" s="7" t="str">
        <f>IF(I817&lt;'Characteristics&amp;Parameters'!$B$17,ConcentrationsCalculations!I817+1,IF(I817="DS Node","",IF(I817="","","DS Node")))</f>
        <v/>
      </c>
      <c r="J818" s="13" t="str">
        <f>IF(I818="DS Node",'Characteristics&amp;Parameters'!$B$8,IF(I818&lt;='Characteristics&amp;Parameters'!$B$17,((1-'Characteristics&amp;Parameters'!$B$19)*ConcentrationsCalculations!F818+'Characteristics&amp;Parameters'!$B$19*ConcentrationsCalculations!F817-F818/86400*'Characteristics&amp;Parameters'!$B$11*'Characteristics&amp;Parameters'!$B$12),""))</f>
        <v/>
      </c>
    </row>
    <row r="819" spans="1:10" x14ac:dyDescent="0.5">
      <c r="A819" s="7" t="str">
        <f>IF(A818&lt;'Characteristics&amp;Parameters'!$B$17,ConcentrationsCalculations!A818+1,IF(A818="DS Node","",IF(A818="","","DS Node")))</f>
        <v/>
      </c>
      <c r="B819" s="8" t="str">
        <f>IF(A819&lt;='Characteristics&amp;Parameters'!$B$17,'Characteristics&amp;Parameters'!$B$7,IF(ConcentrationsCalculations!A819="DS Node",'Characteristics&amp;Parameters'!$B$8,""))</f>
        <v/>
      </c>
      <c r="C819" s="8"/>
      <c r="E819" s="7" t="s">
        <v>25</v>
      </c>
      <c r="F819" s="8" t="s">
        <v>25</v>
      </c>
      <c r="I819" s="7" t="str">
        <f>IF(I818&lt;'Characteristics&amp;Parameters'!$B$17,ConcentrationsCalculations!I818+1,IF(I818="DS Node","",IF(I818="","","DS Node")))</f>
        <v/>
      </c>
      <c r="J819" s="13" t="str">
        <f>IF(I819="DS Node",'Characteristics&amp;Parameters'!$B$8,IF(I819&lt;='Characteristics&amp;Parameters'!$B$17,((1-'Characteristics&amp;Parameters'!$B$19)*ConcentrationsCalculations!F819+'Characteristics&amp;Parameters'!$B$19*ConcentrationsCalculations!F818-F819/86400*'Characteristics&amp;Parameters'!$B$11*'Characteristics&amp;Parameters'!$B$12),""))</f>
        <v/>
      </c>
    </row>
    <row r="820" spans="1:10" x14ac:dyDescent="0.5">
      <c r="A820" s="7" t="str">
        <f>IF(A819&lt;'Characteristics&amp;Parameters'!$B$17,ConcentrationsCalculations!A819+1,IF(A819="DS Node","",IF(A819="","","DS Node")))</f>
        <v/>
      </c>
      <c r="B820" s="8" t="str">
        <f>IF(A820&lt;='Characteristics&amp;Parameters'!$B$17,'Characteristics&amp;Parameters'!$B$7,IF(ConcentrationsCalculations!A820="DS Node",'Characteristics&amp;Parameters'!$B$8,""))</f>
        <v/>
      </c>
      <c r="C820" s="8"/>
      <c r="E820" s="7" t="s">
        <v>25</v>
      </c>
      <c r="F820" s="8" t="s">
        <v>25</v>
      </c>
      <c r="I820" s="7" t="str">
        <f>IF(I819&lt;'Characteristics&amp;Parameters'!$B$17,ConcentrationsCalculations!I819+1,IF(I819="DS Node","",IF(I819="","","DS Node")))</f>
        <v/>
      </c>
      <c r="J820" s="13" t="str">
        <f>IF(I820="DS Node",'Characteristics&amp;Parameters'!$B$8,IF(I820&lt;='Characteristics&amp;Parameters'!$B$17,((1-'Characteristics&amp;Parameters'!$B$19)*ConcentrationsCalculations!F820+'Characteristics&amp;Parameters'!$B$19*ConcentrationsCalculations!F819-F820/86400*'Characteristics&amp;Parameters'!$B$11*'Characteristics&amp;Parameters'!$B$12),""))</f>
        <v/>
      </c>
    </row>
    <row r="821" spans="1:10" x14ac:dyDescent="0.5">
      <c r="A821" s="7" t="str">
        <f>IF(A820&lt;'Characteristics&amp;Parameters'!$B$17,ConcentrationsCalculations!A820+1,IF(A820="DS Node","",IF(A820="","","DS Node")))</f>
        <v/>
      </c>
      <c r="B821" s="8" t="str">
        <f>IF(A821&lt;='Characteristics&amp;Parameters'!$B$17,'Characteristics&amp;Parameters'!$B$7,IF(ConcentrationsCalculations!A821="DS Node",'Characteristics&amp;Parameters'!$B$8,""))</f>
        <v/>
      </c>
      <c r="C821" s="8"/>
      <c r="E821" s="7" t="s">
        <v>25</v>
      </c>
      <c r="F821" s="8" t="s">
        <v>25</v>
      </c>
      <c r="I821" s="7" t="str">
        <f>IF(I820&lt;'Characteristics&amp;Parameters'!$B$17,ConcentrationsCalculations!I820+1,IF(I820="DS Node","",IF(I820="","","DS Node")))</f>
        <v/>
      </c>
      <c r="J821" s="13" t="str">
        <f>IF(I821="DS Node",'Characteristics&amp;Parameters'!$B$8,IF(I821&lt;='Characteristics&amp;Parameters'!$B$17,((1-'Characteristics&amp;Parameters'!$B$19)*ConcentrationsCalculations!F821+'Characteristics&amp;Parameters'!$B$19*ConcentrationsCalculations!F820-F821/86400*'Characteristics&amp;Parameters'!$B$11*'Characteristics&amp;Parameters'!$B$12),""))</f>
        <v/>
      </c>
    </row>
    <row r="822" spans="1:10" x14ac:dyDescent="0.5">
      <c r="A822" s="7" t="str">
        <f>IF(A821&lt;'Characteristics&amp;Parameters'!$B$17,ConcentrationsCalculations!A821+1,IF(A821="DS Node","",IF(A821="","","DS Node")))</f>
        <v/>
      </c>
      <c r="B822" s="8" t="str">
        <f>IF(A822&lt;='Characteristics&amp;Parameters'!$B$17,'Characteristics&amp;Parameters'!$B$7,IF(ConcentrationsCalculations!A822="DS Node",'Characteristics&amp;Parameters'!$B$8,""))</f>
        <v/>
      </c>
      <c r="C822" s="8"/>
      <c r="E822" s="7" t="s">
        <v>25</v>
      </c>
      <c r="F822" s="8" t="s">
        <v>25</v>
      </c>
      <c r="I822" s="7" t="str">
        <f>IF(I821&lt;'Characteristics&amp;Parameters'!$B$17,ConcentrationsCalculations!I821+1,IF(I821="DS Node","",IF(I821="","","DS Node")))</f>
        <v/>
      </c>
      <c r="J822" s="13" t="str">
        <f>IF(I822="DS Node",'Characteristics&amp;Parameters'!$B$8,IF(I822&lt;='Characteristics&amp;Parameters'!$B$17,((1-'Characteristics&amp;Parameters'!$B$19)*ConcentrationsCalculations!F822+'Characteristics&amp;Parameters'!$B$19*ConcentrationsCalculations!F821-F822/86400*'Characteristics&amp;Parameters'!$B$11*'Characteristics&amp;Parameters'!$B$12),""))</f>
        <v/>
      </c>
    </row>
    <row r="823" spans="1:10" x14ac:dyDescent="0.5">
      <c r="A823" s="7" t="str">
        <f>IF(A822&lt;'Characteristics&amp;Parameters'!$B$17,ConcentrationsCalculations!A822+1,IF(A822="DS Node","",IF(A822="","","DS Node")))</f>
        <v/>
      </c>
      <c r="B823" s="8" t="str">
        <f>IF(A823&lt;='Characteristics&amp;Parameters'!$B$17,'Characteristics&amp;Parameters'!$B$7,IF(ConcentrationsCalculations!A823="DS Node",'Characteristics&amp;Parameters'!$B$8,""))</f>
        <v/>
      </c>
      <c r="C823" s="8"/>
      <c r="E823" s="7" t="s">
        <v>25</v>
      </c>
      <c r="F823" s="8" t="s">
        <v>25</v>
      </c>
      <c r="I823" s="7" t="str">
        <f>IF(I822&lt;'Characteristics&amp;Parameters'!$B$17,ConcentrationsCalculations!I822+1,IF(I822="DS Node","",IF(I822="","","DS Node")))</f>
        <v/>
      </c>
      <c r="J823" s="13" t="str">
        <f>IF(I823="DS Node",'Characteristics&amp;Parameters'!$B$8,IF(I823&lt;='Characteristics&amp;Parameters'!$B$17,((1-'Characteristics&amp;Parameters'!$B$19)*ConcentrationsCalculations!F823+'Characteristics&amp;Parameters'!$B$19*ConcentrationsCalculations!F822-F823/86400*'Characteristics&amp;Parameters'!$B$11*'Characteristics&amp;Parameters'!$B$12),""))</f>
        <v/>
      </c>
    </row>
    <row r="824" spans="1:10" x14ac:dyDescent="0.5">
      <c r="A824" s="7" t="str">
        <f>IF(A823&lt;'Characteristics&amp;Parameters'!$B$17,ConcentrationsCalculations!A823+1,IF(A823="DS Node","",IF(A823="","","DS Node")))</f>
        <v/>
      </c>
      <c r="B824" s="8" t="str">
        <f>IF(A824&lt;='Characteristics&amp;Parameters'!$B$17,'Characteristics&amp;Parameters'!$B$7,IF(ConcentrationsCalculations!A824="DS Node",'Characteristics&amp;Parameters'!$B$8,""))</f>
        <v/>
      </c>
      <c r="C824" s="8"/>
      <c r="E824" s="7" t="s">
        <v>25</v>
      </c>
      <c r="F824" s="8" t="s">
        <v>25</v>
      </c>
      <c r="I824" s="7" t="str">
        <f>IF(I823&lt;'Characteristics&amp;Parameters'!$B$17,ConcentrationsCalculations!I823+1,IF(I823="DS Node","",IF(I823="","","DS Node")))</f>
        <v/>
      </c>
      <c r="J824" s="13" t="str">
        <f>IF(I824="DS Node",'Characteristics&amp;Parameters'!$B$8,IF(I824&lt;='Characteristics&amp;Parameters'!$B$17,((1-'Characteristics&amp;Parameters'!$B$19)*ConcentrationsCalculations!F824+'Characteristics&amp;Parameters'!$B$19*ConcentrationsCalculations!F823-F824/86400*'Characteristics&amp;Parameters'!$B$11*'Characteristics&amp;Parameters'!$B$12),""))</f>
        <v/>
      </c>
    </row>
    <row r="825" spans="1:10" x14ac:dyDescent="0.5">
      <c r="A825" s="7" t="str">
        <f>IF(A824&lt;'Characteristics&amp;Parameters'!$B$17,ConcentrationsCalculations!A824+1,IF(A824="DS Node","",IF(A824="","","DS Node")))</f>
        <v/>
      </c>
      <c r="B825" s="8" t="str">
        <f>IF(A825&lt;='Characteristics&amp;Parameters'!$B$17,'Characteristics&amp;Parameters'!$B$7,IF(ConcentrationsCalculations!A825="DS Node",'Characteristics&amp;Parameters'!$B$8,""))</f>
        <v/>
      </c>
      <c r="C825" s="8"/>
      <c r="E825" s="7" t="s">
        <v>25</v>
      </c>
      <c r="F825" s="8" t="s">
        <v>25</v>
      </c>
      <c r="I825" s="7" t="str">
        <f>IF(I824&lt;'Characteristics&amp;Parameters'!$B$17,ConcentrationsCalculations!I824+1,IF(I824="DS Node","",IF(I824="","","DS Node")))</f>
        <v/>
      </c>
      <c r="J825" s="13" t="str">
        <f>IF(I825="DS Node",'Characteristics&amp;Parameters'!$B$8,IF(I825&lt;='Characteristics&amp;Parameters'!$B$17,((1-'Characteristics&amp;Parameters'!$B$19)*ConcentrationsCalculations!F825+'Characteristics&amp;Parameters'!$B$19*ConcentrationsCalculations!F824-F825/86400*'Characteristics&amp;Parameters'!$B$11*'Characteristics&amp;Parameters'!$B$12),""))</f>
        <v/>
      </c>
    </row>
    <row r="826" spans="1:10" x14ac:dyDescent="0.5">
      <c r="A826" s="7" t="str">
        <f>IF(A825&lt;'Characteristics&amp;Parameters'!$B$17,ConcentrationsCalculations!A825+1,IF(A825="DS Node","",IF(A825="","","DS Node")))</f>
        <v/>
      </c>
      <c r="B826" s="8" t="str">
        <f>IF(A826&lt;='Characteristics&amp;Parameters'!$B$17,'Characteristics&amp;Parameters'!$B$7,IF(ConcentrationsCalculations!A826="DS Node",'Characteristics&amp;Parameters'!$B$8,""))</f>
        <v/>
      </c>
      <c r="C826" s="8"/>
      <c r="E826" s="7" t="s">
        <v>25</v>
      </c>
      <c r="F826" s="8" t="s">
        <v>25</v>
      </c>
      <c r="I826" s="7" t="str">
        <f>IF(I825&lt;'Characteristics&amp;Parameters'!$B$17,ConcentrationsCalculations!I825+1,IF(I825="DS Node","",IF(I825="","","DS Node")))</f>
        <v/>
      </c>
      <c r="J826" s="13" t="str">
        <f>IF(I826="DS Node",'Characteristics&amp;Parameters'!$B$8,IF(I826&lt;='Characteristics&amp;Parameters'!$B$17,((1-'Characteristics&amp;Parameters'!$B$19)*ConcentrationsCalculations!F826+'Characteristics&amp;Parameters'!$B$19*ConcentrationsCalculations!F825-F826/86400*'Characteristics&amp;Parameters'!$B$11*'Characteristics&amp;Parameters'!$B$12),""))</f>
        <v/>
      </c>
    </row>
    <row r="827" spans="1:10" x14ac:dyDescent="0.5">
      <c r="A827" s="7" t="str">
        <f>IF(A826&lt;'Characteristics&amp;Parameters'!$B$17,ConcentrationsCalculations!A826+1,IF(A826="DS Node","",IF(A826="","","DS Node")))</f>
        <v/>
      </c>
      <c r="B827" s="8" t="str">
        <f>IF(A827&lt;='Characteristics&amp;Parameters'!$B$17,'Characteristics&amp;Parameters'!$B$7,IF(ConcentrationsCalculations!A827="DS Node",'Characteristics&amp;Parameters'!$B$8,""))</f>
        <v/>
      </c>
      <c r="C827" s="8"/>
      <c r="E827" s="7" t="s">
        <v>25</v>
      </c>
      <c r="F827" s="8" t="s">
        <v>25</v>
      </c>
      <c r="I827" s="7" t="str">
        <f>IF(I826&lt;'Characteristics&amp;Parameters'!$B$17,ConcentrationsCalculations!I826+1,IF(I826="DS Node","",IF(I826="","","DS Node")))</f>
        <v/>
      </c>
      <c r="J827" s="13" t="str">
        <f>IF(I827="DS Node",'Characteristics&amp;Parameters'!$B$8,IF(I827&lt;='Characteristics&amp;Parameters'!$B$17,((1-'Characteristics&amp;Parameters'!$B$19)*ConcentrationsCalculations!F827+'Characteristics&amp;Parameters'!$B$19*ConcentrationsCalculations!F826-F827/86400*'Characteristics&amp;Parameters'!$B$11*'Characteristics&amp;Parameters'!$B$12),""))</f>
        <v/>
      </c>
    </row>
    <row r="828" spans="1:10" x14ac:dyDescent="0.5">
      <c r="A828" s="7" t="str">
        <f>IF(A827&lt;'Characteristics&amp;Parameters'!$B$17,ConcentrationsCalculations!A827+1,IF(A827="DS Node","",IF(A827="","","DS Node")))</f>
        <v/>
      </c>
      <c r="B828" s="8" t="str">
        <f>IF(A828&lt;='Characteristics&amp;Parameters'!$B$17,'Characteristics&amp;Parameters'!$B$7,IF(ConcentrationsCalculations!A828="DS Node",'Characteristics&amp;Parameters'!$B$8,""))</f>
        <v/>
      </c>
      <c r="C828" s="8"/>
      <c r="E828" s="7" t="s">
        <v>25</v>
      </c>
      <c r="F828" s="8" t="s">
        <v>25</v>
      </c>
      <c r="I828" s="7" t="str">
        <f>IF(I827&lt;'Characteristics&amp;Parameters'!$B$17,ConcentrationsCalculations!I827+1,IF(I827="DS Node","",IF(I827="","","DS Node")))</f>
        <v/>
      </c>
      <c r="J828" s="13" t="str">
        <f>IF(I828="DS Node",'Characteristics&amp;Parameters'!$B$8,IF(I828&lt;='Characteristics&amp;Parameters'!$B$17,((1-'Characteristics&amp;Parameters'!$B$19)*ConcentrationsCalculations!F828+'Characteristics&amp;Parameters'!$B$19*ConcentrationsCalculations!F827-F828/86400*'Characteristics&amp;Parameters'!$B$11*'Characteristics&amp;Parameters'!$B$12),""))</f>
        <v/>
      </c>
    </row>
    <row r="829" spans="1:10" x14ac:dyDescent="0.5">
      <c r="A829" s="7" t="str">
        <f>IF(A828&lt;'Characteristics&amp;Parameters'!$B$17,ConcentrationsCalculations!A828+1,IF(A828="DS Node","",IF(A828="","","DS Node")))</f>
        <v/>
      </c>
      <c r="B829" s="8" t="str">
        <f>IF(A829&lt;='Characteristics&amp;Parameters'!$B$17,'Characteristics&amp;Parameters'!$B$7,IF(ConcentrationsCalculations!A829="DS Node",'Characteristics&amp;Parameters'!$B$8,""))</f>
        <v/>
      </c>
      <c r="C829" s="8"/>
      <c r="E829" s="7" t="s">
        <v>25</v>
      </c>
      <c r="F829" s="8" t="s">
        <v>25</v>
      </c>
      <c r="I829" s="7" t="str">
        <f>IF(I828&lt;'Characteristics&amp;Parameters'!$B$17,ConcentrationsCalculations!I828+1,IF(I828="DS Node","",IF(I828="","","DS Node")))</f>
        <v/>
      </c>
      <c r="J829" s="13" t="str">
        <f>IF(I829="DS Node",'Characteristics&amp;Parameters'!$B$8,IF(I829&lt;='Characteristics&amp;Parameters'!$B$17,((1-'Characteristics&amp;Parameters'!$B$19)*ConcentrationsCalculations!F829+'Characteristics&amp;Parameters'!$B$19*ConcentrationsCalculations!F828-F829/86400*'Characteristics&amp;Parameters'!$B$11*'Characteristics&amp;Parameters'!$B$12),""))</f>
        <v/>
      </c>
    </row>
    <row r="830" spans="1:10" x14ac:dyDescent="0.5">
      <c r="A830" s="7" t="str">
        <f>IF(A829&lt;'Characteristics&amp;Parameters'!$B$17,ConcentrationsCalculations!A829+1,IF(A829="DS Node","",IF(A829="","","DS Node")))</f>
        <v/>
      </c>
      <c r="B830" s="8" t="str">
        <f>IF(A830&lt;='Characteristics&amp;Parameters'!$B$17,'Characteristics&amp;Parameters'!$B$7,IF(ConcentrationsCalculations!A830="DS Node",'Characteristics&amp;Parameters'!$B$8,""))</f>
        <v/>
      </c>
      <c r="C830" s="8"/>
      <c r="E830" s="7" t="s">
        <v>25</v>
      </c>
      <c r="F830" s="8" t="s">
        <v>25</v>
      </c>
      <c r="I830" s="7" t="str">
        <f>IF(I829&lt;'Characteristics&amp;Parameters'!$B$17,ConcentrationsCalculations!I829+1,IF(I829="DS Node","",IF(I829="","","DS Node")))</f>
        <v/>
      </c>
      <c r="J830" s="13" t="str">
        <f>IF(I830="DS Node",'Characteristics&amp;Parameters'!$B$8,IF(I830&lt;='Characteristics&amp;Parameters'!$B$17,((1-'Characteristics&amp;Parameters'!$B$19)*ConcentrationsCalculations!F830+'Characteristics&amp;Parameters'!$B$19*ConcentrationsCalculations!F829-F830/86400*'Characteristics&amp;Parameters'!$B$11*'Characteristics&amp;Parameters'!$B$12),""))</f>
        <v/>
      </c>
    </row>
    <row r="831" spans="1:10" x14ac:dyDescent="0.5">
      <c r="A831" s="7" t="str">
        <f>IF(A830&lt;'Characteristics&amp;Parameters'!$B$17,ConcentrationsCalculations!A830+1,IF(A830="DS Node","",IF(A830="","","DS Node")))</f>
        <v/>
      </c>
      <c r="B831" s="8" t="str">
        <f>IF(A831&lt;='Characteristics&amp;Parameters'!$B$17,'Characteristics&amp;Parameters'!$B$7,IF(ConcentrationsCalculations!A831="DS Node",'Characteristics&amp;Parameters'!$B$8,""))</f>
        <v/>
      </c>
      <c r="C831" s="8"/>
      <c r="E831" s="7" t="s">
        <v>25</v>
      </c>
      <c r="F831" s="8" t="s">
        <v>25</v>
      </c>
      <c r="I831" s="7" t="str">
        <f>IF(I830&lt;'Characteristics&amp;Parameters'!$B$17,ConcentrationsCalculations!I830+1,IF(I830="DS Node","",IF(I830="","","DS Node")))</f>
        <v/>
      </c>
      <c r="J831" s="13" t="str">
        <f>IF(I831="DS Node",'Characteristics&amp;Parameters'!$B$8,IF(I831&lt;='Characteristics&amp;Parameters'!$B$17,((1-'Characteristics&amp;Parameters'!$B$19)*ConcentrationsCalculations!F831+'Characteristics&amp;Parameters'!$B$19*ConcentrationsCalculations!F830-F831/86400*'Characteristics&amp;Parameters'!$B$11*'Characteristics&amp;Parameters'!$B$12),""))</f>
        <v/>
      </c>
    </row>
    <row r="832" spans="1:10" x14ac:dyDescent="0.5">
      <c r="A832" s="7" t="str">
        <f>IF(A831&lt;'Characteristics&amp;Parameters'!$B$17,ConcentrationsCalculations!A831+1,IF(A831="DS Node","",IF(A831="","","DS Node")))</f>
        <v/>
      </c>
      <c r="B832" s="8" t="str">
        <f>IF(A832&lt;='Characteristics&amp;Parameters'!$B$17,'Characteristics&amp;Parameters'!$B$7,IF(ConcentrationsCalculations!A832="DS Node",'Characteristics&amp;Parameters'!$B$8,""))</f>
        <v/>
      </c>
      <c r="C832" s="8"/>
      <c r="E832" s="7" t="s">
        <v>25</v>
      </c>
      <c r="F832" s="8" t="s">
        <v>25</v>
      </c>
      <c r="I832" s="7" t="str">
        <f>IF(I831&lt;'Characteristics&amp;Parameters'!$B$17,ConcentrationsCalculations!I831+1,IF(I831="DS Node","",IF(I831="","","DS Node")))</f>
        <v/>
      </c>
      <c r="J832" s="13" t="str">
        <f>IF(I832="DS Node",'Characteristics&amp;Parameters'!$B$8,IF(I832&lt;='Characteristics&amp;Parameters'!$B$17,((1-'Characteristics&amp;Parameters'!$B$19)*ConcentrationsCalculations!F832+'Characteristics&amp;Parameters'!$B$19*ConcentrationsCalculations!F831-F832/86400*'Characteristics&amp;Parameters'!$B$11*'Characteristics&amp;Parameters'!$B$12),""))</f>
        <v/>
      </c>
    </row>
    <row r="833" spans="1:10" x14ac:dyDescent="0.5">
      <c r="A833" s="7" t="str">
        <f>IF(A832&lt;'Characteristics&amp;Parameters'!$B$17,ConcentrationsCalculations!A832+1,IF(A832="DS Node","",IF(A832="","","DS Node")))</f>
        <v/>
      </c>
      <c r="B833" s="8" t="str">
        <f>IF(A833&lt;='Characteristics&amp;Parameters'!$B$17,'Characteristics&amp;Parameters'!$B$7,IF(ConcentrationsCalculations!A833="DS Node",'Characteristics&amp;Parameters'!$B$8,""))</f>
        <v/>
      </c>
      <c r="C833" s="8"/>
      <c r="E833" s="7" t="s">
        <v>25</v>
      </c>
      <c r="F833" s="8" t="s">
        <v>25</v>
      </c>
      <c r="I833" s="7" t="str">
        <f>IF(I832&lt;'Characteristics&amp;Parameters'!$B$17,ConcentrationsCalculations!I832+1,IF(I832="DS Node","",IF(I832="","","DS Node")))</f>
        <v/>
      </c>
      <c r="J833" s="13" t="str">
        <f>IF(I833="DS Node",'Characteristics&amp;Parameters'!$B$8,IF(I833&lt;='Characteristics&amp;Parameters'!$B$17,((1-'Characteristics&amp;Parameters'!$B$19)*ConcentrationsCalculations!F833+'Characteristics&amp;Parameters'!$B$19*ConcentrationsCalculations!F832-F833/86400*'Characteristics&amp;Parameters'!$B$11*'Characteristics&amp;Parameters'!$B$12),""))</f>
        <v/>
      </c>
    </row>
    <row r="834" spans="1:10" x14ac:dyDescent="0.5">
      <c r="A834" s="7" t="str">
        <f>IF(A833&lt;'Characteristics&amp;Parameters'!$B$17,ConcentrationsCalculations!A833+1,IF(A833="DS Node","",IF(A833="","","DS Node")))</f>
        <v/>
      </c>
      <c r="B834" s="8" t="str">
        <f>IF(A834&lt;='Characteristics&amp;Parameters'!$B$17,'Characteristics&amp;Parameters'!$B$7,IF(ConcentrationsCalculations!A834="DS Node",'Characteristics&amp;Parameters'!$B$8,""))</f>
        <v/>
      </c>
      <c r="C834" s="8"/>
      <c r="E834" s="7" t="s">
        <v>25</v>
      </c>
      <c r="F834" s="8" t="s">
        <v>25</v>
      </c>
      <c r="I834" s="7" t="str">
        <f>IF(I833&lt;'Characteristics&amp;Parameters'!$B$17,ConcentrationsCalculations!I833+1,IF(I833="DS Node","",IF(I833="","","DS Node")))</f>
        <v/>
      </c>
      <c r="J834" s="13" t="str">
        <f>IF(I834="DS Node",'Characteristics&amp;Parameters'!$B$8,IF(I834&lt;='Characteristics&amp;Parameters'!$B$17,((1-'Characteristics&amp;Parameters'!$B$19)*ConcentrationsCalculations!F834+'Characteristics&amp;Parameters'!$B$19*ConcentrationsCalculations!F833-F834/86400*'Characteristics&amp;Parameters'!$B$11*'Characteristics&amp;Parameters'!$B$12),""))</f>
        <v/>
      </c>
    </row>
    <row r="835" spans="1:10" x14ac:dyDescent="0.5">
      <c r="A835" s="7" t="str">
        <f>IF(A834&lt;'Characteristics&amp;Parameters'!$B$17,ConcentrationsCalculations!A834+1,IF(A834="DS Node","",IF(A834="","","DS Node")))</f>
        <v/>
      </c>
      <c r="B835" s="8" t="str">
        <f>IF(A835&lt;='Characteristics&amp;Parameters'!$B$17,'Characteristics&amp;Parameters'!$B$7,IF(ConcentrationsCalculations!A835="DS Node",'Characteristics&amp;Parameters'!$B$8,""))</f>
        <v/>
      </c>
      <c r="C835" s="8"/>
      <c r="E835" s="7" t="s">
        <v>25</v>
      </c>
      <c r="F835" s="8" t="s">
        <v>25</v>
      </c>
      <c r="I835" s="7" t="str">
        <f>IF(I834&lt;'Characteristics&amp;Parameters'!$B$17,ConcentrationsCalculations!I834+1,IF(I834="DS Node","",IF(I834="","","DS Node")))</f>
        <v/>
      </c>
      <c r="J835" s="13" t="str">
        <f>IF(I835="DS Node",'Characteristics&amp;Parameters'!$B$8,IF(I835&lt;='Characteristics&amp;Parameters'!$B$17,((1-'Characteristics&amp;Parameters'!$B$19)*ConcentrationsCalculations!F835+'Characteristics&amp;Parameters'!$B$19*ConcentrationsCalculations!F834-F835/86400*'Characteristics&amp;Parameters'!$B$11*'Characteristics&amp;Parameters'!$B$12),""))</f>
        <v/>
      </c>
    </row>
    <row r="836" spans="1:10" x14ac:dyDescent="0.5">
      <c r="A836" s="7" t="str">
        <f>IF(A835&lt;'Characteristics&amp;Parameters'!$B$17,ConcentrationsCalculations!A835+1,IF(A835="DS Node","",IF(A835="","","DS Node")))</f>
        <v/>
      </c>
      <c r="B836" s="8" t="str">
        <f>IF(A836&lt;='Characteristics&amp;Parameters'!$B$17,'Characteristics&amp;Parameters'!$B$7,IF(ConcentrationsCalculations!A836="DS Node",'Characteristics&amp;Parameters'!$B$8,""))</f>
        <v/>
      </c>
      <c r="C836" s="8"/>
      <c r="E836" s="7" t="s">
        <v>25</v>
      </c>
      <c r="F836" s="8" t="s">
        <v>25</v>
      </c>
      <c r="I836" s="7" t="str">
        <f>IF(I835&lt;'Characteristics&amp;Parameters'!$B$17,ConcentrationsCalculations!I835+1,IF(I835="DS Node","",IF(I835="","","DS Node")))</f>
        <v/>
      </c>
      <c r="J836" s="13" t="str">
        <f>IF(I836="DS Node",'Characteristics&amp;Parameters'!$B$8,IF(I836&lt;='Characteristics&amp;Parameters'!$B$17,((1-'Characteristics&amp;Parameters'!$B$19)*ConcentrationsCalculations!F836+'Characteristics&amp;Parameters'!$B$19*ConcentrationsCalculations!F835-F836/86400*'Characteristics&amp;Parameters'!$B$11*'Characteristics&amp;Parameters'!$B$12),""))</f>
        <v/>
      </c>
    </row>
    <row r="837" spans="1:10" x14ac:dyDescent="0.5">
      <c r="A837" s="7" t="str">
        <f>IF(A836&lt;'Characteristics&amp;Parameters'!$B$17,ConcentrationsCalculations!A836+1,IF(A836="DS Node","",IF(A836="","","DS Node")))</f>
        <v/>
      </c>
      <c r="B837" s="8" t="str">
        <f>IF(A837&lt;='Characteristics&amp;Parameters'!$B$17,'Characteristics&amp;Parameters'!$B$7,IF(ConcentrationsCalculations!A837="DS Node",'Characteristics&amp;Parameters'!$B$8,""))</f>
        <v/>
      </c>
      <c r="C837" s="8"/>
      <c r="E837" s="7" t="s">
        <v>25</v>
      </c>
      <c r="F837" s="8" t="s">
        <v>25</v>
      </c>
      <c r="I837" s="7" t="str">
        <f>IF(I836&lt;'Characteristics&amp;Parameters'!$B$17,ConcentrationsCalculations!I836+1,IF(I836="DS Node","",IF(I836="","","DS Node")))</f>
        <v/>
      </c>
      <c r="J837" s="13" t="str">
        <f>IF(I837="DS Node",'Characteristics&amp;Parameters'!$B$8,IF(I837&lt;='Characteristics&amp;Parameters'!$B$17,((1-'Characteristics&amp;Parameters'!$B$19)*ConcentrationsCalculations!F837+'Characteristics&amp;Parameters'!$B$19*ConcentrationsCalculations!F836-F837/86400*'Characteristics&amp;Parameters'!$B$11*'Characteristics&amp;Parameters'!$B$12),""))</f>
        <v/>
      </c>
    </row>
    <row r="838" spans="1:10" x14ac:dyDescent="0.5">
      <c r="A838" s="7" t="str">
        <f>IF(A837&lt;'Characteristics&amp;Parameters'!$B$17,ConcentrationsCalculations!A837+1,IF(A837="DS Node","",IF(A837="","","DS Node")))</f>
        <v/>
      </c>
      <c r="B838" s="8" t="str">
        <f>IF(A838&lt;='Characteristics&amp;Parameters'!$B$17,'Characteristics&amp;Parameters'!$B$7,IF(ConcentrationsCalculations!A838="DS Node",'Characteristics&amp;Parameters'!$B$8,""))</f>
        <v/>
      </c>
      <c r="C838" s="8"/>
      <c r="E838" s="7" t="s">
        <v>25</v>
      </c>
      <c r="F838" s="8" t="s">
        <v>25</v>
      </c>
      <c r="I838" s="7" t="str">
        <f>IF(I837&lt;'Characteristics&amp;Parameters'!$B$17,ConcentrationsCalculations!I837+1,IF(I837="DS Node","",IF(I837="","","DS Node")))</f>
        <v/>
      </c>
      <c r="J838" s="13" t="str">
        <f>IF(I838="DS Node",'Characteristics&amp;Parameters'!$B$8,IF(I838&lt;='Characteristics&amp;Parameters'!$B$17,((1-'Characteristics&amp;Parameters'!$B$19)*ConcentrationsCalculations!F838+'Characteristics&amp;Parameters'!$B$19*ConcentrationsCalculations!F837-F838/86400*'Characteristics&amp;Parameters'!$B$11*'Characteristics&amp;Parameters'!$B$12),""))</f>
        <v/>
      </c>
    </row>
    <row r="839" spans="1:10" x14ac:dyDescent="0.5">
      <c r="A839" s="7" t="str">
        <f>IF(A838&lt;'Characteristics&amp;Parameters'!$B$17,ConcentrationsCalculations!A838+1,IF(A838="DS Node","",IF(A838="","","DS Node")))</f>
        <v/>
      </c>
      <c r="B839" s="8" t="str">
        <f>IF(A839&lt;='Characteristics&amp;Parameters'!$B$17,'Characteristics&amp;Parameters'!$B$7,IF(ConcentrationsCalculations!A839="DS Node",'Characteristics&amp;Parameters'!$B$8,""))</f>
        <v/>
      </c>
      <c r="C839" s="8"/>
      <c r="E839" s="7" t="s">
        <v>25</v>
      </c>
      <c r="F839" s="8" t="s">
        <v>25</v>
      </c>
      <c r="I839" s="7" t="str">
        <f>IF(I838&lt;'Characteristics&amp;Parameters'!$B$17,ConcentrationsCalculations!I838+1,IF(I838="DS Node","",IF(I838="","","DS Node")))</f>
        <v/>
      </c>
      <c r="J839" s="13" t="str">
        <f>IF(I839="DS Node",'Characteristics&amp;Parameters'!$B$8,IF(I839&lt;='Characteristics&amp;Parameters'!$B$17,((1-'Characteristics&amp;Parameters'!$B$19)*ConcentrationsCalculations!F839+'Characteristics&amp;Parameters'!$B$19*ConcentrationsCalculations!F838-F839/86400*'Characteristics&amp;Parameters'!$B$11*'Characteristics&amp;Parameters'!$B$12),""))</f>
        <v/>
      </c>
    </row>
    <row r="840" spans="1:10" x14ac:dyDescent="0.5">
      <c r="A840" s="7" t="str">
        <f>IF(A839&lt;'Characteristics&amp;Parameters'!$B$17,ConcentrationsCalculations!A839+1,IF(A839="DS Node","",IF(A839="","","DS Node")))</f>
        <v/>
      </c>
      <c r="B840" s="8" t="str">
        <f>IF(A840&lt;='Characteristics&amp;Parameters'!$B$17,'Characteristics&amp;Parameters'!$B$7,IF(ConcentrationsCalculations!A840="DS Node",'Characteristics&amp;Parameters'!$B$8,""))</f>
        <v/>
      </c>
      <c r="C840" s="8"/>
      <c r="E840" s="7" t="s">
        <v>25</v>
      </c>
      <c r="F840" s="8" t="s">
        <v>25</v>
      </c>
      <c r="I840" s="7" t="str">
        <f>IF(I839&lt;'Characteristics&amp;Parameters'!$B$17,ConcentrationsCalculations!I839+1,IF(I839="DS Node","",IF(I839="","","DS Node")))</f>
        <v/>
      </c>
      <c r="J840" s="13" t="str">
        <f>IF(I840="DS Node",'Characteristics&amp;Parameters'!$B$8,IF(I840&lt;='Characteristics&amp;Parameters'!$B$17,((1-'Characteristics&amp;Parameters'!$B$19)*ConcentrationsCalculations!F840+'Characteristics&amp;Parameters'!$B$19*ConcentrationsCalculations!F839-F840/86400*'Characteristics&amp;Parameters'!$B$11*'Characteristics&amp;Parameters'!$B$12),""))</f>
        <v/>
      </c>
    </row>
    <row r="841" spans="1:10" x14ac:dyDescent="0.5">
      <c r="A841" s="7" t="str">
        <f>IF(A840&lt;'Characteristics&amp;Parameters'!$B$17,ConcentrationsCalculations!A840+1,IF(A840="DS Node","",IF(A840="","","DS Node")))</f>
        <v/>
      </c>
      <c r="B841" s="8" t="str">
        <f>IF(A841&lt;='Characteristics&amp;Parameters'!$B$17,'Characteristics&amp;Parameters'!$B$7,IF(ConcentrationsCalculations!A841="DS Node",'Characteristics&amp;Parameters'!$B$8,""))</f>
        <v/>
      </c>
      <c r="C841" s="8"/>
      <c r="E841" s="7" t="s">
        <v>25</v>
      </c>
      <c r="F841" s="8" t="s">
        <v>25</v>
      </c>
      <c r="I841" s="7" t="str">
        <f>IF(I840&lt;'Characteristics&amp;Parameters'!$B$17,ConcentrationsCalculations!I840+1,IF(I840="DS Node","",IF(I840="","","DS Node")))</f>
        <v/>
      </c>
      <c r="J841" s="13" t="str">
        <f>IF(I841="DS Node",'Characteristics&amp;Parameters'!$B$8,IF(I841&lt;='Characteristics&amp;Parameters'!$B$17,((1-'Characteristics&amp;Parameters'!$B$19)*ConcentrationsCalculations!F841+'Characteristics&amp;Parameters'!$B$19*ConcentrationsCalculations!F840-F841/86400*'Characteristics&amp;Parameters'!$B$11*'Characteristics&amp;Parameters'!$B$12),""))</f>
        <v/>
      </c>
    </row>
    <row r="842" spans="1:10" x14ac:dyDescent="0.5">
      <c r="A842" s="7" t="str">
        <f>IF(A841&lt;'Characteristics&amp;Parameters'!$B$17,ConcentrationsCalculations!A841+1,IF(A841="DS Node","",IF(A841="","","DS Node")))</f>
        <v/>
      </c>
      <c r="B842" s="8" t="str">
        <f>IF(A842&lt;='Characteristics&amp;Parameters'!$B$17,'Characteristics&amp;Parameters'!$B$7,IF(ConcentrationsCalculations!A842="DS Node",'Characteristics&amp;Parameters'!$B$8,""))</f>
        <v/>
      </c>
      <c r="C842" s="8"/>
      <c r="E842" s="7" t="s">
        <v>25</v>
      </c>
      <c r="F842" s="8" t="s">
        <v>25</v>
      </c>
      <c r="I842" s="7" t="str">
        <f>IF(I841&lt;'Characteristics&amp;Parameters'!$B$17,ConcentrationsCalculations!I841+1,IF(I841="DS Node","",IF(I841="","","DS Node")))</f>
        <v/>
      </c>
      <c r="J842" s="13" t="str">
        <f>IF(I842="DS Node",'Characteristics&amp;Parameters'!$B$8,IF(I842&lt;='Characteristics&amp;Parameters'!$B$17,((1-'Characteristics&amp;Parameters'!$B$19)*ConcentrationsCalculations!F842+'Characteristics&amp;Parameters'!$B$19*ConcentrationsCalculations!F841-F842/86400*'Characteristics&amp;Parameters'!$B$11*'Characteristics&amp;Parameters'!$B$12),""))</f>
        <v/>
      </c>
    </row>
    <row r="843" spans="1:10" x14ac:dyDescent="0.5">
      <c r="A843" s="7" t="str">
        <f>IF(A842&lt;'Characteristics&amp;Parameters'!$B$17,ConcentrationsCalculations!A842+1,IF(A842="DS Node","",IF(A842="","","DS Node")))</f>
        <v/>
      </c>
      <c r="B843" s="8" t="str">
        <f>IF(A843&lt;='Characteristics&amp;Parameters'!$B$17,'Characteristics&amp;Parameters'!$B$7,IF(ConcentrationsCalculations!A843="DS Node",'Characteristics&amp;Parameters'!$B$8,""))</f>
        <v/>
      </c>
      <c r="C843" s="8"/>
      <c r="E843" s="7" t="s">
        <v>25</v>
      </c>
      <c r="F843" s="8" t="s">
        <v>25</v>
      </c>
      <c r="I843" s="7" t="str">
        <f>IF(I842&lt;'Characteristics&amp;Parameters'!$B$17,ConcentrationsCalculations!I842+1,IF(I842="DS Node","",IF(I842="","","DS Node")))</f>
        <v/>
      </c>
      <c r="J843" s="13" t="str">
        <f>IF(I843="DS Node",'Characteristics&amp;Parameters'!$B$8,IF(I843&lt;='Characteristics&amp;Parameters'!$B$17,((1-'Characteristics&amp;Parameters'!$B$19)*ConcentrationsCalculations!F843+'Characteristics&amp;Parameters'!$B$19*ConcentrationsCalculations!F842-F843/86400*'Characteristics&amp;Parameters'!$B$11*'Characteristics&amp;Parameters'!$B$12),""))</f>
        <v/>
      </c>
    </row>
    <row r="844" spans="1:10" x14ac:dyDescent="0.5">
      <c r="A844" s="7" t="str">
        <f>IF(A843&lt;'Characteristics&amp;Parameters'!$B$17,ConcentrationsCalculations!A843+1,IF(A843="DS Node","",IF(A843="","","DS Node")))</f>
        <v/>
      </c>
      <c r="B844" s="8" t="str">
        <f>IF(A844&lt;='Characteristics&amp;Parameters'!$B$17,'Characteristics&amp;Parameters'!$B$7,IF(ConcentrationsCalculations!A844="DS Node",'Characteristics&amp;Parameters'!$B$8,""))</f>
        <v/>
      </c>
      <c r="C844" s="8"/>
      <c r="E844" s="7" t="s">
        <v>25</v>
      </c>
      <c r="F844" s="8" t="s">
        <v>25</v>
      </c>
      <c r="I844" s="7" t="str">
        <f>IF(I843&lt;'Characteristics&amp;Parameters'!$B$17,ConcentrationsCalculations!I843+1,IF(I843="DS Node","",IF(I843="","","DS Node")))</f>
        <v/>
      </c>
      <c r="J844" s="13" t="str">
        <f>IF(I844="DS Node",'Characteristics&amp;Parameters'!$B$8,IF(I844&lt;='Characteristics&amp;Parameters'!$B$17,((1-'Characteristics&amp;Parameters'!$B$19)*ConcentrationsCalculations!F844+'Characteristics&amp;Parameters'!$B$19*ConcentrationsCalculations!F843-F844/86400*'Characteristics&amp;Parameters'!$B$11*'Characteristics&amp;Parameters'!$B$12),""))</f>
        <v/>
      </c>
    </row>
    <row r="845" spans="1:10" x14ac:dyDescent="0.5">
      <c r="A845" s="7" t="str">
        <f>IF(A844&lt;'Characteristics&amp;Parameters'!$B$17,ConcentrationsCalculations!A844+1,IF(A844="DS Node","",IF(A844="","","DS Node")))</f>
        <v/>
      </c>
      <c r="B845" s="8" t="str">
        <f>IF(A845&lt;='Characteristics&amp;Parameters'!$B$17,'Characteristics&amp;Parameters'!$B$7,IF(ConcentrationsCalculations!A845="DS Node",'Characteristics&amp;Parameters'!$B$8,""))</f>
        <v/>
      </c>
      <c r="C845" s="8"/>
      <c r="E845" s="7" t="s">
        <v>25</v>
      </c>
      <c r="F845" s="8" t="s">
        <v>25</v>
      </c>
      <c r="I845" s="7" t="str">
        <f>IF(I844&lt;'Characteristics&amp;Parameters'!$B$17,ConcentrationsCalculations!I844+1,IF(I844="DS Node","",IF(I844="","","DS Node")))</f>
        <v/>
      </c>
      <c r="J845" s="13" t="str">
        <f>IF(I845="DS Node",'Characteristics&amp;Parameters'!$B$8,IF(I845&lt;='Characteristics&amp;Parameters'!$B$17,((1-'Characteristics&amp;Parameters'!$B$19)*ConcentrationsCalculations!F845+'Characteristics&amp;Parameters'!$B$19*ConcentrationsCalculations!F844-F845/86400*'Characteristics&amp;Parameters'!$B$11*'Characteristics&amp;Parameters'!$B$12),""))</f>
        <v/>
      </c>
    </row>
    <row r="846" spans="1:10" x14ac:dyDescent="0.5">
      <c r="A846" s="7" t="str">
        <f>IF(A845&lt;'Characteristics&amp;Parameters'!$B$17,ConcentrationsCalculations!A845+1,IF(A845="DS Node","",IF(A845="","","DS Node")))</f>
        <v/>
      </c>
      <c r="B846" s="8" t="str">
        <f>IF(A846&lt;='Characteristics&amp;Parameters'!$B$17,'Characteristics&amp;Parameters'!$B$7,IF(ConcentrationsCalculations!A846="DS Node",'Characteristics&amp;Parameters'!$B$8,""))</f>
        <v/>
      </c>
      <c r="C846" s="8"/>
      <c r="E846" s="7" t="s">
        <v>25</v>
      </c>
      <c r="F846" s="8" t="s">
        <v>25</v>
      </c>
      <c r="I846" s="7" t="str">
        <f>IF(I845&lt;'Characteristics&amp;Parameters'!$B$17,ConcentrationsCalculations!I845+1,IF(I845="DS Node","",IF(I845="","","DS Node")))</f>
        <v/>
      </c>
      <c r="J846" s="13" t="str">
        <f>IF(I846="DS Node",'Characteristics&amp;Parameters'!$B$8,IF(I846&lt;='Characteristics&amp;Parameters'!$B$17,((1-'Characteristics&amp;Parameters'!$B$19)*ConcentrationsCalculations!F846+'Characteristics&amp;Parameters'!$B$19*ConcentrationsCalculations!F845-F846/86400*'Characteristics&amp;Parameters'!$B$11*'Characteristics&amp;Parameters'!$B$12),""))</f>
        <v/>
      </c>
    </row>
    <row r="847" spans="1:10" x14ac:dyDescent="0.5">
      <c r="A847" s="7" t="str">
        <f>IF(A846&lt;'Characteristics&amp;Parameters'!$B$17,ConcentrationsCalculations!A846+1,IF(A846="DS Node","",IF(A846="","","DS Node")))</f>
        <v/>
      </c>
      <c r="B847" s="8" t="str">
        <f>IF(A847&lt;='Characteristics&amp;Parameters'!$B$17,'Characteristics&amp;Parameters'!$B$7,IF(ConcentrationsCalculations!A847="DS Node",'Characteristics&amp;Parameters'!$B$8,""))</f>
        <v/>
      </c>
      <c r="C847" s="8"/>
      <c r="E847" s="7" t="s">
        <v>25</v>
      </c>
      <c r="F847" s="8" t="s">
        <v>25</v>
      </c>
      <c r="I847" s="7" t="str">
        <f>IF(I846&lt;'Characteristics&amp;Parameters'!$B$17,ConcentrationsCalculations!I846+1,IF(I846="DS Node","",IF(I846="","","DS Node")))</f>
        <v/>
      </c>
      <c r="J847" s="13" t="str">
        <f>IF(I847="DS Node",'Characteristics&amp;Parameters'!$B$8,IF(I847&lt;='Characteristics&amp;Parameters'!$B$17,((1-'Characteristics&amp;Parameters'!$B$19)*ConcentrationsCalculations!F847+'Characteristics&amp;Parameters'!$B$19*ConcentrationsCalculations!F846-F847/86400*'Characteristics&amp;Parameters'!$B$11*'Characteristics&amp;Parameters'!$B$12),""))</f>
        <v/>
      </c>
    </row>
    <row r="848" spans="1:10" x14ac:dyDescent="0.5">
      <c r="A848" s="7" t="str">
        <f>IF(A847&lt;'Characteristics&amp;Parameters'!$B$17,ConcentrationsCalculations!A847+1,IF(A847="DS Node","",IF(A847="","","DS Node")))</f>
        <v/>
      </c>
      <c r="B848" s="8" t="str">
        <f>IF(A848&lt;='Characteristics&amp;Parameters'!$B$17,'Characteristics&amp;Parameters'!$B$7,IF(ConcentrationsCalculations!A848="DS Node",'Characteristics&amp;Parameters'!$B$8,""))</f>
        <v/>
      </c>
      <c r="C848" s="8"/>
      <c r="E848" s="7" t="s">
        <v>25</v>
      </c>
      <c r="F848" s="8" t="s">
        <v>25</v>
      </c>
      <c r="I848" s="7" t="str">
        <f>IF(I847&lt;'Characteristics&amp;Parameters'!$B$17,ConcentrationsCalculations!I847+1,IF(I847="DS Node","",IF(I847="","","DS Node")))</f>
        <v/>
      </c>
      <c r="J848" s="13" t="str">
        <f>IF(I848="DS Node",'Characteristics&amp;Parameters'!$B$8,IF(I848&lt;='Characteristics&amp;Parameters'!$B$17,((1-'Characteristics&amp;Parameters'!$B$19)*ConcentrationsCalculations!F848+'Characteristics&amp;Parameters'!$B$19*ConcentrationsCalculations!F847-F848/86400*'Characteristics&amp;Parameters'!$B$11*'Characteristics&amp;Parameters'!$B$12),""))</f>
        <v/>
      </c>
    </row>
    <row r="849" spans="1:10" x14ac:dyDescent="0.5">
      <c r="A849" s="7" t="str">
        <f>IF(A848&lt;'Characteristics&amp;Parameters'!$B$17,ConcentrationsCalculations!A848+1,IF(A848="DS Node","",IF(A848="","","DS Node")))</f>
        <v/>
      </c>
      <c r="B849" s="8" t="str">
        <f>IF(A849&lt;='Characteristics&amp;Parameters'!$B$17,'Characteristics&amp;Parameters'!$B$7,IF(ConcentrationsCalculations!A849="DS Node",'Characteristics&amp;Parameters'!$B$8,""))</f>
        <v/>
      </c>
      <c r="C849" s="8"/>
      <c r="E849" s="7" t="s">
        <v>25</v>
      </c>
      <c r="F849" s="8" t="s">
        <v>25</v>
      </c>
      <c r="I849" s="7" t="str">
        <f>IF(I848&lt;'Characteristics&amp;Parameters'!$B$17,ConcentrationsCalculations!I848+1,IF(I848="DS Node","",IF(I848="","","DS Node")))</f>
        <v/>
      </c>
      <c r="J849" s="13" t="str">
        <f>IF(I849="DS Node",'Characteristics&amp;Parameters'!$B$8,IF(I849&lt;='Characteristics&amp;Parameters'!$B$17,((1-'Characteristics&amp;Parameters'!$B$19)*ConcentrationsCalculations!F849+'Characteristics&amp;Parameters'!$B$19*ConcentrationsCalculations!F848-F849/86400*'Characteristics&amp;Parameters'!$B$11*'Characteristics&amp;Parameters'!$B$12),""))</f>
        <v/>
      </c>
    </row>
    <row r="850" spans="1:10" x14ac:dyDescent="0.5">
      <c r="A850" s="7" t="str">
        <f>IF(A849&lt;'Characteristics&amp;Parameters'!$B$17,ConcentrationsCalculations!A849+1,IF(A849="DS Node","",IF(A849="","","DS Node")))</f>
        <v/>
      </c>
      <c r="B850" s="8" t="str">
        <f>IF(A850&lt;='Characteristics&amp;Parameters'!$B$17,'Characteristics&amp;Parameters'!$B$7,IF(ConcentrationsCalculations!A850="DS Node",'Characteristics&amp;Parameters'!$B$8,""))</f>
        <v/>
      </c>
      <c r="C850" s="8"/>
      <c r="E850" s="7" t="s">
        <v>25</v>
      </c>
      <c r="F850" s="8" t="s">
        <v>25</v>
      </c>
      <c r="I850" s="7" t="str">
        <f>IF(I849&lt;'Characteristics&amp;Parameters'!$B$17,ConcentrationsCalculations!I849+1,IF(I849="DS Node","",IF(I849="","","DS Node")))</f>
        <v/>
      </c>
      <c r="J850" s="13" t="str">
        <f>IF(I850="DS Node",'Characteristics&amp;Parameters'!$B$8,IF(I850&lt;='Characteristics&amp;Parameters'!$B$17,((1-'Characteristics&amp;Parameters'!$B$19)*ConcentrationsCalculations!F850+'Characteristics&amp;Parameters'!$B$19*ConcentrationsCalculations!F849-F850/86400*'Characteristics&amp;Parameters'!$B$11*'Characteristics&amp;Parameters'!$B$12),""))</f>
        <v/>
      </c>
    </row>
    <row r="851" spans="1:10" x14ac:dyDescent="0.5">
      <c r="A851" s="7" t="str">
        <f>IF(A850&lt;'Characteristics&amp;Parameters'!$B$17,ConcentrationsCalculations!A850+1,IF(A850="DS Node","",IF(A850="","","DS Node")))</f>
        <v/>
      </c>
      <c r="B851" s="8" t="str">
        <f>IF(A851&lt;='Characteristics&amp;Parameters'!$B$17,'Characteristics&amp;Parameters'!$B$7,IF(ConcentrationsCalculations!A851="DS Node",'Characteristics&amp;Parameters'!$B$8,""))</f>
        <v/>
      </c>
      <c r="C851" s="8"/>
      <c r="E851" s="7" t="s">
        <v>25</v>
      </c>
      <c r="F851" s="8" t="s">
        <v>25</v>
      </c>
      <c r="I851" s="7" t="str">
        <f>IF(I850&lt;'Characteristics&amp;Parameters'!$B$17,ConcentrationsCalculations!I850+1,IF(I850="DS Node","",IF(I850="","","DS Node")))</f>
        <v/>
      </c>
      <c r="J851" s="13" t="str">
        <f>IF(I851="DS Node",'Characteristics&amp;Parameters'!$B$8,IF(I851&lt;='Characteristics&amp;Parameters'!$B$17,((1-'Characteristics&amp;Parameters'!$B$19)*ConcentrationsCalculations!F851+'Characteristics&amp;Parameters'!$B$19*ConcentrationsCalculations!F850-F851/86400*'Characteristics&amp;Parameters'!$B$11*'Characteristics&amp;Parameters'!$B$12),""))</f>
        <v/>
      </c>
    </row>
    <row r="852" spans="1:10" x14ac:dyDescent="0.5">
      <c r="A852" s="7" t="str">
        <f>IF(A851&lt;'Characteristics&amp;Parameters'!$B$17,ConcentrationsCalculations!A851+1,IF(A851="DS Node","",IF(A851="","","DS Node")))</f>
        <v/>
      </c>
      <c r="B852" s="8" t="str">
        <f>IF(A852&lt;='Characteristics&amp;Parameters'!$B$17,'Characteristics&amp;Parameters'!$B$7,IF(ConcentrationsCalculations!A852="DS Node",'Characteristics&amp;Parameters'!$B$8,""))</f>
        <v/>
      </c>
      <c r="C852" s="8"/>
      <c r="E852" s="7" t="s">
        <v>25</v>
      </c>
      <c r="F852" s="8" t="s">
        <v>25</v>
      </c>
      <c r="I852" s="7" t="str">
        <f>IF(I851&lt;'Characteristics&amp;Parameters'!$B$17,ConcentrationsCalculations!I851+1,IF(I851="DS Node","",IF(I851="","","DS Node")))</f>
        <v/>
      </c>
      <c r="J852" s="13" t="str">
        <f>IF(I852="DS Node",'Characteristics&amp;Parameters'!$B$8,IF(I852&lt;='Characteristics&amp;Parameters'!$B$17,((1-'Characteristics&amp;Parameters'!$B$19)*ConcentrationsCalculations!F852+'Characteristics&amp;Parameters'!$B$19*ConcentrationsCalculations!F851-F852/86400*'Characteristics&amp;Parameters'!$B$11*'Characteristics&amp;Parameters'!$B$12),""))</f>
        <v/>
      </c>
    </row>
    <row r="853" spans="1:10" x14ac:dyDescent="0.5">
      <c r="A853" s="7" t="str">
        <f>IF(A852&lt;'Characteristics&amp;Parameters'!$B$17,ConcentrationsCalculations!A852+1,IF(A852="DS Node","",IF(A852="","","DS Node")))</f>
        <v/>
      </c>
      <c r="B853" s="8" t="str">
        <f>IF(A853&lt;='Characteristics&amp;Parameters'!$B$17,'Characteristics&amp;Parameters'!$B$7,IF(ConcentrationsCalculations!A853="DS Node",'Characteristics&amp;Parameters'!$B$8,""))</f>
        <v/>
      </c>
      <c r="C853" s="8"/>
      <c r="E853" s="7" t="s">
        <v>25</v>
      </c>
      <c r="F853" s="8" t="s">
        <v>25</v>
      </c>
      <c r="I853" s="7" t="str">
        <f>IF(I852&lt;'Characteristics&amp;Parameters'!$B$17,ConcentrationsCalculations!I852+1,IF(I852="DS Node","",IF(I852="","","DS Node")))</f>
        <v/>
      </c>
      <c r="J853" s="13" t="str">
        <f>IF(I853="DS Node",'Characteristics&amp;Parameters'!$B$8,IF(I853&lt;='Characteristics&amp;Parameters'!$B$17,((1-'Characteristics&amp;Parameters'!$B$19)*ConcentrationsCalculations!F853+'Characteristics&amp;Parameters'!$B$19*ConcentrationsCalculations!F852-F853/86400*'Characteristics&amp;Parameters'!$B$11*'Characteristics&amp;Parameters'!$B$12),""))</f>
        <v/>
      </c>
    </row>
    <row r="854" spans="1:10" x14ac:dyDescent="0.5">
      <c r="A854" s="7" t="str">
        <f>IF(A853&lt;'Characteristics&amp;Parameters'!$B$17,ConcentrationsCalculations!A853+1,IF(A853="DS Node","",IF(A853="","","DS Node")))</f>
        <v/>
      </c>
      <c r="B854" s="8" t="str">
        <f>IF(A854&lt;='Characteristics&amp;Parameters'!$B$17,'Characteristics&amp;Parameters'!$B$7,IF(ConcentrationsCalculations!A854="DS Node",'Characteristics&amp;Parameters'!$B$8,""))</f>
        <v/>
      </c>
      <c r="C854" s="8"/>
      <c r="E854" s="7" t="s">
        <v>25</v>
      </c>
      <c r="F854" s="8" t="s">
        <v>25</v>
      </c>
      <c r="I854" s="7" t="str">
        <f>IF(I853&lt;'Characteristics&amp;Parameters'!$B$17,ConcentrationsCalculations!I853+1,IF(I853="DS Node","",IF(I853="","","DS Node")))</f>
        <v/>
      </c>
      <c r="J854" s="13" t="str">
        <f>IF(I854="DS Node",'Characteristics&amp;Parameters'!$B$8,IF(I854&lt;='Characteristics&amp;Parameters'!$B$17,((1-'Characteristics&amp;Parameters'!$B$19)*ConcentrationsCalculations!F854+'Characteristics&amp;Parameters'!$B$19*ConcentrationsCalculations!F853-F854/86400*'Characteristics&amp;Parameters'!$B$11*'Characteristics&amp;Parameters'!$B$12),""))</f>
        <v/>
      </c>
    </row>
    <row r="855" spans="1:10" x14ac:dyDescent="0.5">
      <c r="A855" s="7" t="str">
        <f>IF(A854&lt;'Characteristics&amp;Parameters'!$B$17,ConcentrationsCalculations!A854+1,IF(A854="DS Node","",IF(A854="","","DS Node")))</f>
        <v/>
      </c>
      <c r="B855" s="8" t="str">
        <f>IF(A855&lt;='Characteristics&amp;Parameters'!$B$17,'Characteristics&amp;Parameters'!$B$7,IF(ConcentrationsCalculations!A855="DS Node",'Characteristics&amp;Parameters'!$B$8,""))</f>
        <v/>
      </c>
      <c r="C855" s="8"/>
      <c r="E855" s="7" t="s">
        <v>25</v>
      </c>
      <c r="F855" s="8" t="s">
        <v>25</v>
      </c>
      <c r="I855" s="7" t="str">
        <f>IF(I854&lt;'Characteristics&amp;Parameters'!$B$17,ConcentrationsCalculations!I854+1,IF(I854="DS Node","",IF(I854="","","DS Node")))</f>
        <v/>
      </c>
      <c r="J855" s="13" t="str">
        <f>IF(I855="DS Node",'Characteristics&amp;Parameters'!$B$8,IF(I855&lt;='Characteristics&amp;Parameters'!$B$17,((1-'Characteristics&amp;Parameters'!$B$19)*ConcentrationsCalculations!F855+'Characteristics&amp;Parameters'!$B$19*ConcentrationsCalculations!F854-F855/86400*'Characteristics&amp;Parameters'!$B$11*'Characteristics&amp;Parameters'!$B$12),""))</f>
        <v/>
      </c>
    </row>
    <row r="856" spans="1:10" x14ac:dyDescent="0.5">
      <c r="A856" s="7" t="str">
        <f>IF(A855&lt;'Characteristics&amp;Parameters'!$B$17,ConcentrationsCalculations!A855+1,IF(A855="DS Node","",IF(A855="","","DS Node")))</f>
        <v/>
      </c>
      <c r="B856" s="8" t="str">
        <f>IF(A856&lt;='Characteristics&amp;Parameters'!$B$17,'Characteristics&amp;Parameters'!$B$7,IF(ConcentrationsCalculations!A856="DS Node",'Characteristics&amp;Parameters'!$B$8,""))</f>
        <v/>
      </c>
      <c r="C856" s="8"/>
      <c r="E856" s="7" t="s">
        <v>25</v>
      </c>
      <c r="F856" s="8" t="s">
        <v>25</v>
      </c>
      <c r="I856" s="7" t="str">
        <f>IF(I855&lt;'Characteristics&amp;Parameters'!$B$17,ConcentrationsCalculations!I855+1,IF(I855="DS Node","",IF(I855="","","DS Node")))</f>
        <v/>
      </c>
      <c r="J856" s="13" t="str">
        <f>IF(I856="DS Node",'Characteristics&amp;Parameters'!$B$8,IF(I856&lt;='Characteristics&amp;Parameters'!$B$17,((1-'Characteristics&amp;Parameters'!$B$19)*ConcentrationsCalculations!F856+'Characteristics&amp;Parameters'!$B$19*ConcentrationsCalculations!F855-F856/86400*'Characteristics&amp;Parameters'!$B$11*'Characteristics&amp;Parameters'!$B$12),""))</f>
        <v/>
      </c>
    </row>
    <row r="857" spans="1:10" x14ac:dyDescent="0.5">
      <c r="A857" s="7" t="str">
        <f>IF(A856&lt;'Characteristics&amp;Parameters'!$B$17,ConcentrationsCalculations!A856+1,IF(A856="DS Node","",IF(A856="","","DS Node")))</f>
        <v/>
      </c>
      <c r="B857" s="8" t="str">
        <f>IF(A857&lt;='Characteristics&amp;Parameters'!$B$17,'Characteristics&amp;Parameters'!$B$7,IF(ConcentrationsCalculations!A857="DS Node",'Characteristics&amp;Parameters'!$B$8,""))</f>
        <v/>
      </c>
      <c r="C857" s="8"/>
      <c r="E857" s="7" t="s">
        <v>25</v>
      </c>
      <c r="F857" s="8" t="s">
        <v>25</v>
      </c>
      <c r="I857" s="7" t="str">
        <f>IF(I856&lt;'Characteristics&amp;Parameters'!$B$17,ConcentrationsCalculations!I856+1,IF(I856="DS Node","",IF(I856="","","DS Node")))</f>
        <v/>
      </c>
      <c r="J857" s="13" t="str">
        <f>IF(I857="DS Node",'Characteristics&amp;Parameters'!$B$8,IF(I857&lt;='Characteristics&amp;Parameters'!$B$17,((1-'Characteristics&amp;Parameters'!$B$19)*ConcentrationsCalculations!F857+'Characteristics&amp;Parameters'!$B$19*ConcentrationsCalculations!F856-F857/86400*'Characteristics&amp;Parameters'!$B$11*'Characteristics&amp;Parameters'!$B$12),""))</f>
        <v/>
      </c>
    </row>
    <row r="858" spans="1:10" x14ac:dyDescent="0.5">
      <c r="A858" s="7" t="str">
        <f>IF(A857&lt;'Characteristics&amp;Parameters'!$B$17,ConcentrationsCalculations!A857+1,IF(A857="DS Node","",IF(A857="","","DS Node")))</f>
        <v/>
      </c>
      <c r="B858" s="8" t="str">
        <f>IF(A858&lt;='Characteristics&amp;Parameters'!$B$17,'Characteristics&amp;Parameters'!$B$7,IF(ConcentrationsCalculations!A858="DS Node",'Characteristics&amp;Parameters'!$B$8,""))</f>
        <v/>
      </c>
      <c r="C858" s="8"/>
      <c r="E858" s="7" t="s">
        <v>25</v>
      </c>
      <c r="F858" s="8" t="s">
        <v>25</v>
      </c>
      <c r="I858" s="7" t="str">
        <f>IF(I857&lt;'Characteristics&amp;Parameters'!$B$17,ConcentrationsCalculations!I857+1,IF(I857="DS Node","",IF(I857="","","DS Node")))</f>
        <v/>
      </c>
      <c r="J858" s="13" t="str">
        <f>IF(I858="DS Node",'Characteristics&amp;Parameters'!$B$8,IF(I858&lt;='Characteristics&amp;Parameters'!$B$17,((1-'Characteristics&amp;Parameters'!$B$19)*ConcentrationsCalculations!F858+'Characteristics&amp;Parameters'!$B$19*ConcentrationsCalculations!F857-F858/86400*'Characteristics&amp;Parameters'!$B$11*'Characteristics&amp;Parameters'!$B$12),""))</f>
        <v/>
      </c>
    </row>
    <row r="859" spans="1:10" x14ac:dyDescent="0.5">
      <c r="A859" s="7" t="str">
        <f>IF(A858&lt;'Characteristics&amp;Parameters'!$B$17,ConcentrationsCalculations!A858+1,IF(A858="DS Node","",IF(A858="","","DS Node")))</f>
        <v/>
      </c>
      <c r="B859" s="8" t="str">
        <f>IF(A859&lt;='Characteristics&amp;Parameters'!$B$17,'Characteristics&amp;Parameters'!$B$7,IF(ConcentrationsCalculations!A859="DS Node",'Characteristics&amp;Parameters'!$B$8,""))</f>
        <v/>
      </c>
      <c r="C859" s="8"/>
      <c r="E859" s="7" t="s">
        <v>25</v>
      </c>
      <c r="F859" s="8" t="s">
        <v>25</v>
      </c>
      <c r="I859" s="7" t="str">
        <f>IF(I858&lt;'Characteristics&amp;Parameters'!$B$17,ConcentrationsCalculations!I858+1,IF(I858="DS Node","",IF(I858="","","DS Node")))</f>
        <v/>
      </c>
      <c r="J859" s="13" t="str">
        <f>IF(I859="DS Node",'Characteristics&amp;Parameters'!$B$8,IF(I859&lt;='Characteristics&amp;Parameters'!$B$17,((1-'Characteristics&amp;Parameters'!$B$19)*ConcentrationsCalculations!F859+'Characteristics&amp;Parameters'!$B$19*ConcentrationsCalculations!F858-F859/86400*'Characteristics&amp;Parameters'!$B$11*'Characteristics&amp;Parameters'!$B$12),""))</f>
        <v/>
      </c>
    </row>
    <row r="860" spans="1:10" x14ac:dyDescent="0.5">
      <c r="A860" s="7" t="str">
        <f>IF(A859&lt;'Characteristics&amp;Parameters'!$B$17,ConcentrationsCalculations!A859+1,IF(A859="DS Node","",IF(A859="","","DS Node")))</f>
        <v/>
      </c>
      <c r="B860" s="8" t="str">
        <f>IF(A860&lt;='Characteristics&amp;Parameters'!$B$17,'Characteristics&amp;Parameters'!$B$7,IF(ConcentrationsCalculations!A860="DS Node",'Characteristics&amp;Parameters'!$B$8,""))</f>
        <v/>
      </c>
      <c r="C860" s="8"/>
      <c r="E860" s="7" t="s">
        <v>25</v>
      </c>
      <c r="F860" s="8" t="s">
        <v>25</v>
      </c>
      <c r="I860" s="7" t="str">
        <f>IF(I859&lt;'Characteristics&amp;Parameters'!$B$17,ConcentrationsCalculations!I859+1,IF(I859="DS Node","",IF(I859="","","DS Node")))</f>
        <v/>
      </c>
      <c r="J860" s="13" t="str">
        <f>IF(I860="DS Node",'Characteristics&amp;Parameters'!$B$8,IF(I860&lt;='Characteristics&amp;Parameters'!$B$17,((1-'Characteristics&amp;Parameters'!$B$19)*ConcentrationsCalculations!F860+'Characteristics&amp;Parameters'!$B$19*ConcentrationsCalculations!F859-F860/86400*'Characteristics&amp;Parameters'!$B$11*'Characteristics&amp;Parameters'!$B$12),""))</f>
        <v/>
      </c>
    </row>
    <row r="861" spans="1:10" x14ac:dyDescent="0.5">
      <c r="A861" s="7" t="str">
        <f>IF(A860&lt;'Characteristics&amp;Parameters'!$B$17,ConcentrationsCalculations!A860+1,IF(A860="DS Node","",IF(A860="","","DS Node")))</f>
        <v/>
      </c>
      <c r="B861" s="8" t="str">
        <f>IF(A861&lt;='Characteristics&amp;Parameters'!$B$17,'Characteristics&amp;Parameters'!$B$7,IF(ConcentrationsCalculations!A861="DS Node",'Characteristics&amp;Parameters'!$B$8,""))</f>
        <v/>
      </c>
      <c r="C861" s="8"/>
      <c r="E861" s="7" t="s">
        <v>25</v>
      </c>
      <c r="F861" s="8" t="s">
        <v>25</v>
      </c>
      <c r="I861" s="7" t="str">
        <f>IF(I860&lt;'Characteristics&amp;Parameters'!$B$17,ConcentrationsCalculations!I860+1,IF(I860="DS Node","",IF(I860="","","DS Node")))</f>
        <v/>
      </c>
      <c r="J861" s="13" t="str">
        <f>IF(I861="DS Node",'Characteristics&amp;Parameters'!$B$8,IF(I861&lt;='Characteristics&amp;Parameters'!$B$17,((1-'Characteristics&amp;Parameters'!$B$19)*ConcentrationsCalculations!F861+'Characteristics&amp;Parameters'!$B$19*ConcentrationsCalculations!F860-F861/86400*'Characteristics&amp;Parameters'!$B$11*'Characteristics&amp;Parameters'!$B$12),""))</f>
        <v/>
      </c>
    </row>
    <row r="862" spans="1:10" x14ac:dyDescent="0.5">
      <c r="A862" s="7" t="str">
        <f>IF(A861&lt;'Characteristics&amp;Parameters'!$B$17,ConcentrationsCalculations!A861+1,IF(A861="DS Node","",IF(A861="","","DS Node")))</f>
        <v/>
      </c>
      <c r="B862" s="8" t="str">
        <f>IF(A862&lt;='Characteristics&amp;Parameters'!$B$17,'Characteristics&amp;Parameters'!$B$7,IF(ConcentrationsCalculations!A862="DS Node",'Characteristics&amp;Parameters'!$B$8,""))</f>
        <v/>
      </c>
      <c r="C862" s="8"/>
      <c r="E862" s="7" t="s">
        <v>25</v>
      </c>
      <c r="F862" s="8" t="s">
        <v>25</v>
      </c>
      <c r="I862" s="7" t="str">
        <f>IF(I861&lt;'Characteristics&amp;Parameters'!$B$17,ConcentrationsCalculations!I861+1,IF(I861="DS Node","",IF(I861="","","DS Node")))</f>
        <v/>
      </c>
      <c r="J862" s="13" t="str">
        <f>IF(I862="DS Node",'Characteristics&amp;Parameters'!$B$8,IF(I862&lt;='Characteristics&amp;Parameters'!$B$17,((1-'Characteristics&amp;Parameters'!$B$19)*ConcentrationsCalculations!F862+'Characteristics&amp;Parameters'!$B$19*ConcentrationsCalculations!F861-F862/86400*'Characteristics&amp;Parameters'!$B$11*'Characteristics&amp;Parameters'!$B$12),""))</f>
        <v/>
      </c>
    </row>
    <row r="863" spans="1:10" x14ac:dyDescent="0.5">
      <c r="A863" s="7" t="str">
        <f>IF(A862&lt;'Characteristics&amp;Parameters'!$B$17,ConcentrationsCalculations!A862+1,IF(A862="DS Node","",IF(A862="","","DS Node")))</f>
        <v/>
      </c>
      <c r="B863" s="8" t="str">
        <f>IF(A863&lt;='Characteristics&amp;Parameters'!$B$17,'Characteristics&amp;Parameters'!$B$7,IF(ConcentrationsCalculations!A863="DS Node",'Characteristics&amp;Parameters'!$B$8,""))</f>
        <v/>
      </c>
      <c r="C863" s="8"/>
      <c r="E863" s="7" t="s">
        <v>25</v>
      </c>
      <c r="F863" s="8" t="s">
        <v>25</v>
      </c>
      <c r="I863" s="7" t="str">
        <f>IF(I862&lt;'Characteristics&amp;Parameters'!$B$17,ConcentrationsCalculations!I862+1,IF(I862="DS Node","",IF(I862="","","DS Node")))</f>
        <v/>
      </c>
      <c r="J863" s="13" t="str">
        <f>IF(I863="DS Node",'Characteristics&amp;Parameters'!$B$8,IF(I863&lt;='Characteristics&amp;Parameters'!$B$17,((1-'Characteristics&amp;Parameters'!$B$19)*ConcentrationsCalculations!F863+'Characteristics&amp;Parameters'!$B$19*ConcentrationsCalculations!F862-F863/86400*'Characteristics&amp;Parameters'!$B$11*'Characteristics&amp;Parameters'!$B$12),""))</f>
        <v/>
      </c>
    </row>
    <row r="864" spans="1:10" x14ac:dyDescent="0.5">
      <c r="A864" s="7" t="str">
        <f>IF(A863&lt;'Characteristics&amp;Parameters'!$B$17,ConcentrationsCalculations!A863+1,IF(A863="DS Node","",IF(A863="","","DS Node")))</f>
        <v/>
      </c>
      <c r="B864" s="8" t="str">
        <f>IF(A864&lt;='Characteristics&amp;Parameters'!$B$17,'Characteristics&amp;Parameters'!$B$7,IF(ConcentrationsCalculations!A864="DS Node",'Characteristics&amp;Parameters'!$B$8,""))</f>
        <v/>
      </c>
      <c r="C864" s="8"/>
      <c r="E864" s="7" t="s">
        <v>25</v>
      </c>
      <c r="F864" s="8" t="s">
        <v>25</v>
      </c>
      <c r="I864" s="7" t="str">
        <f>IF(I863&lt;'Characteristics&amp;Parameters'!$B$17,ConcentrationsCalculations!I863+1,IF(I863="DS Node","",IF(I863="","","DS Node")))</f>
        <v/>
      </c>
      <c r="J864" s="13" t="str">
        <f>IF(I864="DS Node",'Characteristics&amp;Parameters'!$B$8,IF(I864&lt;='Characteristics&amp;Parameters'!$B$17,((1-'Characteristics&amp;Parameters'!$B$19)*ConcentrationsCalculations!F864+'Characteristics&amp;Parameters'!$B$19*ConcentrationsCalculations!F863-F864/86400*'Characteristics&amp;Parameters'!$B$11*'Characteristics&amp;Parameters'!$B$12),""))</f>
        <v/>
      </c>
    </row>
    <row r="865" spans="1:10" x14ac:dyDescent="0.5">
      <c r="A865" s="7" t="str">
        <f>IF(A864&lt;'Characteristics&amp;Parameters'!$B$17,ConcentrationsCalculations!A864+1,IF(A864="DS Node","",IF(A864="","","DS Node")))</f>
        <v/>
      </c>
      <c r="B865" s="8" t="str">
        <f>IF(A865&lt;='Characteristics&amp;Parameters'!$B$17,'Characteristics&amp;Parameters'!$B$7,IF(ConcentrationsCalculations!A865="DS Node",'Characteristics&amp;Parameters'!$B$8,""))</f>
        <v/>
      </c>
      <c r="C865" s="8"/>
      <c r="E865" s="7" t="s">
        <v>25</v>
      </c>
      <c r="F865" s="8" t="s">
        <v>25</v>
      </c>
      <c r="I865" s="7" t="str">
        <f>IF(I864&lt;'Characteristics&amp;Parameters'!$B$17,ConcentrationsCalculations!I864+1,IF(I864="DS Node","",IF(I864="","","DS Node")))</f>
        <v/>
      </c>
      <c r="J865" s="13" t="str">
        <f>IF(I865="DS Node",'Characteristics&amp;Parameters'!$B$8,IF(I865&lt;='Characteristics&amp;Parameters'!$B$17,((1-'Characteristics&amp;Parameters'!$B$19)*ConcentrationsCalculations!F865+'Characteristics&amp;Parameters'!$B$19*ConcentrationsCalculations!F864-F865/86400*'Characteristics&amp;Parameters'!$B$11*'Characteristics&amp;Parameters'!$B$12),""))</f>
        <v/>
      </c>
    </row>
    <row r="866" spans="1:10" x14ac:dyDescent="0.5">
      <c r="A866" s="7" t="str">
        <f>IF(A865&lt;'Characteristics&amp;Parameters'!$B$17,ConcentrationsCalculations!A865+1,IF(A865="DS Node","",IF(A865="","","DS Node")))</f>
        <v/>
      </c>
      <c r="B866" s="8" t="str">
        <f>IF(A866&lt;='Characteristics&amp;Parameters'!$B$17,'Characteristics&amp;Parameters'!$B$7,IF(ConcentrationsCalculations!A866="DS Node",'Characteristics&amp;Parameters'!$B$8,""))</f>
        <v/>
      </c>
      <c r="C866" s="8"/>
      <c r="E866" s="7" t="s">
        <v>25</v>
      </c>
      <c r="F866" s="8" t="s">
        <v>25</v>
      </c>
      <c r="I866" s="7" t="str">
        <f>IF(I865&lt;'Characteristics&amp;Parameters'!$B$17,ConcentrationsCalculations!I865+1,IF(I865="DS Node","",IF(I865="","","DS Node")))</f>
        <v/>
      </c>
      <c r="J866" s="13" t="str">
        <f>IF(I866="DS Node",'Characteristics&amp;Parameters'!$B$8,IF(I866&lt;='Characteristics&amp;Parameters'!$B$17,((1-'Characteristics&amp;Parameters'!$B$19)*ConcentrationsCalculations!F866+'Characteristics&amp;Parameters'!$B$19*ConcentrationsCalculations!F865-F866/86400*'Characteristics&amp;Parameters'!$B$11*'Characteristics&amp;Parameters'!$B$12),""))</f>
        <v/>
      </c>
    </row>
    <row r="867" spans="1:10" x14ac:dyDescent="0.5">
      <c r="A867" s="7" t="str">
        <f>IF(A866&lt;'Characteristics&amp;Parameters'!$B$17,ConcentrationsCalculations!A866+1,IF(A866="DS Node","",IF(A866="","","DS Node")))</f>
        <v/>
      </c>
      <c r="B867" s="8" t="str">
        <f>IF(A867&lt;='Characteristics&amp;Parameters'!$B$17,'Characteristics&amp;Parameters'!$B$7,IF(ConcentrationsCalculations!A867="DS Node",'Characteristics&amp;Parameters'!$B$8,""))</f>
        <v/>
      </c>
      <c r="C867" s="8"/>
      <c r="E867" s="7" t="s">
        <v>25</v>
      </c>
      <c r="F867" s="8" t="s">
        <v>25</v>
      </c>
      <c r="I867" s="7" t="str">
        <f>IF(I866&lt;'Characteristics&amp;Parameters'!$B$17,ConcentrationsCalculations!I866+1,IF(I866="DS Node","",IF(I866="","","DS Node")))</f>
        <v/>
      </c>
      <c r="J867" s="13" t="str">
        <f>IF(I867="DS Node",'Characteristics&amp;Parameters'!$B$8,IF(I867&lt;='Characteristics&amp;Parameters'!$B$17,((1-'Characteristics&amp;Parameters'!$B$19)*ConcentrationsCalculations!F867+'Characteristics&amp;Parameters'!$B$19*ConcentrationsCalculations!F866-F867/86400*'Characteristics&amp;Parameters'!$B$11*'Characteristics&amp;Parameters'!$B$12),""))</f>
        <v/>
      </c>
    </row>
    <row r="868" spans="1:10" x14ac:dyDescent="0.5">
      <c r="A868" s="7" t="str">
        <f>IF(A867&lt;'Characteristics&amp;Parameters'!$B$17,ConcentrationsCalculations!A867+1,IF(A867="DS Node","",IF(A867="","","DS Node")))</f>
        <v/>
      </c>
      <c r="B868" s="8" t="str">
        <f>IF(A868&lt;='Characteristics&amp;Parameters'!$B$17,'Characteristics&amp;Parameters'!$B$7,IF(ConcentrationsCalculations!A868="DS Node",'Characteristics&amp;Parameters'!$B$8,""))</f>
        <v/>
      </c>
      <c r="C868" s="8"/>
      <c r="E868" s="7" t="s">
        <v>25</v>
      </c>
      <c r="F868" s="8" t="s">
        <v>25</v>
      </c>
      <c r="I868" s="7" t="str">
        <f>IF(I867&lt;'Characteristics&amp;Parameters'!$B$17,ConcentrationsCalculations!I867+1,IF(I867="DS Node","",IF(I867="","","DS Node")))</f>
        <v/>
      </c>
      <c r="J868" s="13" t="str">
        <f>IF(I868="DS Node",'Characteristics&amp;Parameters'!$B$8,IF(I868&lt;='Characteristics&amp;Parameters'!$B$17,((1-'Characteristics&amp;Parameters'!$B$19)*ConcentrationsCalculations!F868+'Characteristics&amp;Parameters'!$B$19*ConcentrationsCalculations!F867-F868/86400*'Characteristics&amp;Parameters'!$B$11*'Characteristics&amp;Parameters'!$B$12),""))</f>
        <v/>
      </c>
    </row>
    <row r="869" spans="1:10" x14ac:dyDescent="0.5">
      <c r="A869" s="7" t="str">
        <f>IF(A868&lt;'Characteristics&amp;Parameters'!$B$17,ConcentrationsCalculations!A868+1,IF(A868="DS Node","",IF(A868="","","DS Node")))</f>
        <v/>
      </c>
      <c r="B869" s="8" t="str">
        <f>IF(A869&lt;='Characteristics&amp;Parameters'!$B$17,'Characteristics&amp;Parameters'!$B$7,IF(ConcentrationsCalculations!A869="DS Node",'Characteristics&amp;Parameters'!$B$8,""))</f>
        <v/>
      </c>
      <c r="C869" s="8"/>
      <c r="E869" s="7" t="s">
        <v>25</v>
      </c>
      <c r="F869" s="8" t="s">
        <v>25</v>
      </c>
      <c r="I869" s="7" t="str">
        <f>IF(I868&lt;'Characteristics&amp;Parameters'!$B$17,ConcentrationsCalculations!I868+1,IF(I868="DS Node","",IF(I868="","","DS Node")))</f>
        <v/>
      </c>
      <c r="J869" s="13" t="str">
        <f>IF(I869="DS Node",'Characteristics&amp;Parameters'!$B$8,IF(I869&lt;='Characteristics&amp;Parameters'!$B$17,((1-'Characteristics&amp;Parameters'!$B$19)*ConcentrationsCalculations!F869+'Characteristics&amp;Parameters'!$B$19*ConcentrationsCalculations!F868-F869/86400*'Characteristics&amp;Parameters'!$B$11*'Characteristics&amp;Parameters'!$B$12),""))</f>
        <v/>
      </c>
    </row>
    <row r="870" spans="1:10" x14ac:dyDescent="0.5">
      <c r="A870" s="7" t="str">
        <f>IF(A869&lt;'Characteristics&amp;Parameters'!$B$17,ConcentrationsCalculations!A869+1,IF(A869="DS Node","",IF(A869="","","DS Node")))</f>
        <v/>
      </c>
      <c r="B870" s="8" t="str">
        <f>IF(A870&lt;='Characteristics&amp;Parameters'!$B$17,'Characteristics&amp;Parameters'!$B$7,IF(ConcentrationsCalculations!A870="DS Node",'Characteristics&amp;Parameters'!$B$8,""))</f>
        <v/>
      </c>
      <c r="C870" s="8"/>
      <c r="E870" s="7" t="s">
        <v>25</v>
      </c>
      <c r="F870" s="8" t="s">
        <v>25</v>
      </c>
      <c r="I870" s="7" t="str">
        <f>IF(I869&lt;'Characteristics&amp;Parameters'!$B$17,ConcentrationsCalculations!I869+1,IF(I869="DS Node","",IF(I869="","","DS Node")))</f>
        <v/>
      </c>
      <c r="J870" s="13" t="str">
        <f>IF(I870="DS Node",'Characteristics&amp;Parameters'!$B$8,IF(I870&lt;='Characteristics&amp;Parameters'!$B$17,((1-'Characteristics&amp;Parameters'!$B$19)*ConcentrationsCalculations!F870+'Characteristics&amp;Parameters'!$B$19*ConcentrationsCalculations!F869-F870/86400*'Characteristics&amp;Parameters'!$B$11*'Characteristics&amp;Parameters'!$B$12),""))</f>
        <v/>
      </c>
    </row>
    <row r="871" spans="1:10" x14ac:dyDescent="0.5">
      <c r="A871" s="7" t="str">
        <f>IF(A870&lt;'Characteristics&amp;Parameters'!$B$17,ConcentrationsCalculations!A870+1,IF(A870="DS Node","",IF(A870="","","DS Node")))</f>
        <v/>
      </c>
      <c r="B871" s="8" t="str">
        <f>IF(A871&lt;='Characteristics&amp;Parameters'!$B$17,'Characteristics&amp;Parameters'!$B$7,IF(ConcentrationsCalculations!A871="DS Node",'Characteristics&amp;Parameters'!$B$8,""))</f>
        <v/>
      </c>
      <c r="C871" s="8"/>
      <c r="E871" s="7" t="s">
        <v>25</v>
      </c>
      <c r="F871" s="8" t="s">
        <v>25</v>
      </c>
      <c r="I871" s="7" t="str">
        <f>IF(I870&lt;'Characteristics&amp;Parameters'!$B$17,ConcentrationsCalculations!I870+1,IF(I870="DS Node","",IF(I870="","","DS Node")))</f>
        <v/>
      </c>
      <c r="J871" s="13" t="str">
        <f>IF(I871="DS Node",'Characteristics&amp;Parameters'!$B$8,IF(I871&lt;='Characteristics&amp;Parameters'!$B$17,((1-'Characteristics&amp;Parameters'!$B$19)*ConcentrationsCalculations!F871+'Characteristics&amp;Parameters'!$B$19*ConcentrationsCalculations!F870-F871/86400*'Characteristics&amp;Parameters'!$B$11*'Characteristics&amp;Parameters'!$B$12),""))</f>
        <v/>
      </c>
    </row>
    <row r="872" spans="1:10" x14ac:dyDescent="0.5">
      <c r="A872" s="7" t="str">
        <f>IF(A871&lt;'Characteristics&amp;Parameters'!$B$17,ConcentrationsCalculations!A871+1,IF(A871="DS Node","",IF(A871="","","DS Node")))</f>
        <v/>
      </c>
      <c r="B872" s="8" t="str">
        <f>IF(A872&lt;='Characteristics&amp;Parameters'!$B$17,'Characteristics&amp;Parameters'!$B$7,IF(ConcentrationsCalculations!A872="DS Node",'Characteristics&amp;Parameters'!$B$8,""))</f>
        <v/>
      </c>
      <c r="C872" s="8"/>
      <c r="E872" s="7" t="s">
        <v>25</v>
      </c>
      <c r="F872" s="8" t="s">
        <v>25</v>
      </c>
      <c r="I872" s="7" t="str">
        <f>IF(I871&lt;'Characteristics&amp;Parameters'!$B$17,ConcentrationsCalculations!I871+1,IF(I871="DS Node","",IF(I871="","","DS Node")))</f>
        <v/>
      </c>
      <c r="J872" s="13" t="str">
        <f>IF(I872="DS Node",'Characteristics&amp;Parameters'!$B$8,IF(I872&lt;='Characteristics&amp;Parameters'!$B$17,((1-'Characteristics&amp;Parameters'!$B$19)*ConcentrationsCalculations!F872+'Characteristics&amp;Parameters'!$B$19*ConcentrationsCalculations!F871-F872/86400*'Characteristics&amp;Parameters'!$B$11*'Characteristics&amp;Parameters'!$B$12),""))</f>
        <v/>
      </c>
    </row>
    <row r="873" spans="1:10" x14ac:dyDescent="0.5">
      <c r="A873" s="7" t="str">
        <f>IF(A872&lt;'Characteristics&amp;Parameters'!$B$17,ConcentrationsCalculations!A872+1,IF(A872="DS Node","",IF(A872="","","DS Node")))</f>
        <v/>
      </c>
      <c r="B873" s="8" t="str">
        <f>IF(A873&lt;='Characteristics&amp;Parameters'!$B$17,'Characteristics&amp;Parameters'!$B$7,IF(ConcentrationsCalculations!A873="DS Node",'Characteristics&amp;Parameters'!$B$8,""))</f>
        <v/>
      </c>
      <c r="C873" s="8"/>
      <c r="E873" s="7" t="s">
        <v>25</v>
      </c>
      <c r="F873" s="8" t="s">
        <v>25</v>
      </c>
      <c r="I873" s="7" t="str">
        <f>IF(I872&lt;'Characteristics&amp;Parameters'!$B$17,ConcentrationsCalculations!I872+1,IF(I872="DS Node","",IF(I872="","","DS Node")))</f>
        <v/>
      </c>
      <c r="J873" s="13" t="str">
        <f>IF(I873="DS Node",'Characteristics&amp;Parameters'!$B$8,IF(I873&lt;='Characteristics&amp;Parameters'!$B$17,((1-'Characteristics&amp;Parameters'!$B$19)*ConcentrationsCalculations!F873+'Characteristics&amp;Parameters'!$B$19*ConcentrationsCalculations!F872-F873/86400*'Characteristics&amp;Parameters'!$B$11*'Characteristics&amp;Parameters'!$B$12),""))</f>
        <v/>
      </c>
    </row>
    <row r="874" spans="1:10" x14ac:dyDescent="0.5">
      <c r="A874" s="7" t="str">
        <f>IF(A873&lt;'Characteristics&amp;Parameters'!$B$17,ConcentrationsCalculations!A873+1,IF(A873="DS Node","",IF(A873="","","DS Node")))</f>
        <v/>
      </c>
      <c r="B874" s="8" t="str">
        <f>IF(A874&lt;='Characteristics&amp;Parameters'!$B$17,'Characteristics&amp;Parameters'!$B$7,IF(ConcentrationsCalculations!A874="DS Node",'Characteristics&amp;Parameters'!$B$8,""))</f>
        <v/>
      </c>
      <c r="C874" s="8"/>
      <c r="E874" s="7" t="s">
        <v>25</v>
      </c>
      <c r="F874" s="8" t="s">
        <v>25</v>
      </c>
      <c r="I874" s="7" t="str">
        <f>IF(I873&lt;'Characteristics&amp;Parameters'!$B$17,ConcentrationsCalculations!I873+1,IF(I873="DS Node","",IF(I873="","","DS Node")))</f>
        <v/>
      </c>
      <c r="J874" s="13" t="str">
        <f>IF(I874="DS Node",'Characteristics&amp;Parameters'!$B$8,IF(I874&lt;='Characteristics&amp;Parameters'!$B$17,((1-'Characteristics&amp;Parameters'!$B$19)*ConcentrationsCalculations!F874+'Characteristics&amp;Parameters'!$B$19*ConcentrationsCalculations!F873-F874/86400*'Characteristics&amp;Parameters'!$B$11*'Characteristics&amp;Parameters'!$B$12),""))</f>
        <v/>
      </c>
    </row>
    <row r="875" spans="1:10" x14ac:dyDescent="0.5">
      <c r="A875" s="7" t="str">
        <f>IF(A874&lt;'Characteristics&amp;Parameters'!$B$17,ConcentrationsCalculations!A874+1,IF(A874="DS Node","",IF(A874="","","DS Node")))</f>
        <v/>
      </c>
      <c r="B875" s="8" t="str">
        <f>IF(A875&lt;='Characteristics&amp;Parameters'!$B$17,'Characteristics&amp;Parameters'!$B$7,IF(ConcentrationsCalculations!A875="DS Node",'Characteristics&amp;Parameters'!$B$8,""))</f>
        <v/>
      </c>
      <c r="C875" s="8"/>
      <c r="E875" s="7" t="s">
        <v>25</v>
      </c>
      <c r="F875" s="8" t="s">
        <v>25</v>
      </c>
      <c r="I875" s="7" t="str">
        <f>IF(I874&lt;'Characteristics&amp;Parameters'!$B$17,ConcentrationsCalculations!I874+1,IF(I874="DS Node","",IF(I874="","","DS Node")))</f>
        <v/>
      </c>
      <c r="J875" s="13" t="str">
        <f>IF(I875="DS Node",'Characteristics&amp;Parameters'!$B$8,IF(I875&lt;='Characteristics&amp;Parameters'!$B$17,((1-'Characteristics&amp;Parameters'!$B$19)*ConcentrationsCalculations!F875+'Characteristics&amp;Parameters'!$B$19*ConcentrationsCalculations!F874-F875/86400*'Characteristics&amp;Parameters'!$B$11*'Characteristics&amp;Parameters'!$B$12),""))</f>
        <v/>
      </c>
    </row>
    <row r="876" spans="1:10" x14ac:dyDescent="0.5">
      <c r="A876" s="7" t="str">
        <f>IF(A875&lt;'Characteristics&amp;Parameters'!$B$17,ConcentrationsCalculations!A875+1,IF(A875="DS Node","",IF(A875="","","DS Node")))</f>
        <v/>
      </c>
      <c r="B876" s="8" t="str">
        <f>IF(A876&lt;='Characteristics&amp;Parameters'!$B$17,'Characteristics&amp;Parameters'!$B$7,IF(ConcentrationsCalculations!A876="DS Node",'Characteristics&amp;Parameters'!$B$8,""))</f>
        <v/>
      </c>
      <c r="C876" s="8"/>
      <c r="E876" s="7" t="s">
        <v>25</v>
      </c>
      <c r="F876" s="8" t="s">
        <v>25</v>
      </c>
      <c r="I876" s="7" t="str">
        <f>IF(I875&lt;'Characteristics&amp;Parameters'!$B$17,ConcentrationsCalculations!I875+1,IF(I875="DS Node","",IF(I875="","","DS Node")))</f>
        <v/>
      </c>
      <c r="J876" s="13" t="str">
        <f>IF(I876="DS Node",'Characteristics&amp;Parameters'!$B$8,IF(I876&lt;='Characteristics&amp;Parameters'!$B$17,((1-'Characteristics&amp;Parameters'!$B$19)*ConcentrationsCalculations!F876+'Characteristics&amp;Parameters'!$B$19*ConcentrationsCalculations!F875-F876/86400*'Characteristics&amp;Parameters'!$B$11*'Characteristics&amp;Parameters'!$B$12),""))</f>
        <v/>
      </c>
    </row>
    <row r="877" spans="1:10" x14ac:dyDescent="0.5">
      <c r="A877" s="7" t="str">
        <f>IF(A876&lt;'Characteristics&amp;Parameters'!$B$17,ConcentrationsCalculations!A876+1,IF(A876="DS Node","",IF(A876="","","DS Node")))</f>
        <v/>
      </c>
      <c r="B877" s="8" t="str">
        <f>IF(A877&lt;='Characteristics&amp;Parameters'!$B$17,'Characteristics&amp;Parameters'!$B$7,IF(ConcentrationsCalculations!A877="DS Node",'Characteristics&amp;Parameters'!$B$8,""))</f>
        <v/>
      </c>
      <c r="C877" s="8"/>
      <c r="E877" s="7" t="s">
        <v>25</v>
      </c>
      <c r="F877" s="8" t="s">
        <v>25</v>
      </c>
      <c r="I877" s="7" t="str">
        <f>IF(I876&lt;'Characteristics&amp;Parameters'!$B$17,ConcentrationsCalculations!I876+1,IF(I876="DS Node","",IF(I876="","","DS Node")))</f>
        <v/>
      </c>
      <c r="J877" s="13" t="str">
        <f>IF(I877="DS Node",'Characteristics&amp;Parameters'!$B$8,IF(I877&lt;='Characteristics&amp;Parameters'!$B$17,((1-'Characteristics&amp;Parameters'!$B$19)*ConcentrationsCalculations!F877+'Characteristics&amp;Parameters'!$B$19*ConcentrationsCalculations!F876-F877/86400*'Characteristics&amp;Parameters'!$B$11*'Characteristics&amp;Parameters'!$B$12),""))</f>
        <v/>
      </c>
    </row>
    <row r="878" spans="1:10" x14ac:dyDescent="0.5">
      <c r="A878" s="7" t="str">
        <f>IF(A877&lt;'Characteristics&amp;Parameters'!$B$17,ConcentrationsCalculations!A877+1,IF(A877="DS Node","",IF(A877="","","DS Node")))</f>
        <v/>
      </c>
      <c r="B878" s="8" t="str">
        <f>IF(A878&lt;='Characteristics&amp;Parameters'!$B$17,'Characteristics&amp;Parameters'!$B$7,IF(ConcentrationsCalculations!A878="DS Node",'Characteristics&amp;Parameters'!$B$8,""))</f>
        <v/>
      </c>
      <c r="C878" s="8"/>
      <c r="E878" s="7" t="s">
        <v>25</v>
      </c>
      <c r="F878" s="8" t="s">
        <v>25</v>
      </c>
      <c r="I878" s="7" t="str">
        <f>IF(I877&lt;'Characteristics&amp;Parameters'!$B$17,ConcentrationsCalculations!I877+1,IF(I877="DS Node","",IF(I877="","","DS Node")))</f>
        <v/>
      </c>
      <c r="J878" s="13" t="str">
        <f>IF(I878="DS Node",'Characteristics&amp;Parameters'!$B$8,IF(I878&lt;='Characteristics&amp;Parameters'!$B$17,((1-'Characteristics&amp;Parameters'!$B$19)*ConcentrationsCalculations!F878+'Characteristics&amp;Parameters'!$B$19*ConcentrationsCalculations!F877-F878/86400*'Characteristics&amp;Parameters'!$B$11*'Characteristics&amp;Parameters'!$B$12),""))</f>
        <v/>
      </c>
    </row>
    <row r="879" spans="1:10" x14ac:dyDescent="0.5">
      <c r="A879" s="7" t="str">
        <f>IF(A878&lt;'Characteristics&amp;Parameters'!$B$17,ConcentrationsCalculations!A878+1,IF(A878="DS Node","",IF(A878="","","DS Node")))</f>
        <v/>
      </c>
      <c r="B879" s="8" t="str">
        <f>IF(A879&lt;='Characteristics&amp;Parameters'!$B$17,'Characteristics&amp;Parameters'!$B$7,IF(ConcentrationsCalculations!A879="DS Node",'Characteristics&amp;Parameters'!$B$8,""))</f>
        <v/>
      </c>
      <c r="C879" s="8"/>
      <c r="E879" s="7" t="s">
        <v>25</v>
      </c>
      <c r="F879" s="8" t="s">
        <v>25</v>
      </c>
      <c r="I879" s="7" t="str">
        <f>IF(I878&lt;'Characteristics&amp;Parameters'!$B$17,ConcentrationsCalculations!I878+1,IF(I878="DS Node","",IF(I878="","","DS Node")))</f>
        <v/>
      </c>
      <c r="J879" s="13" t="str">
        <f>IF(I879="DS Node",'Characteristics&amp;Parameters'!$B$8,IF(I879&lt;='Characteristics&amp;Parameters'!$B$17,((1-'Characteristics&amp;Parameters'!$B$19)*ConcentrationsCalculations!F879+'Characteristics&amp;Parameters'!$B$19*ConcentrationsCalculations!F878-F879/86400*'Characteristics&amp;Parameters'!$B$11*'Characteristics&amp;Parameters'!$B$12),""))</f>
        <v/>
      </c>
    </row>
    <row r="880" spans="1:10" x14ac:dyDescent="0.5">
      <c r="A880" s="7" t="str">
        <f>IF(A879&lt;'Characteristics&amp;Parameters'!$B$17,ConcentrationsCalculations!A879+1,IF(A879="DS Node","",IF(A879="","","DS Node")))</f>
        <v/>
      </c>
      <c r="B880" s="8" t="str">
        <f>IF(A880&lt;='Characteristics&amp;Parameters'!$B$17,'Characteristics&amp;Parameters'!$B$7,IF(ConcentrationsCalculations!A880="DS Node",'Characteristics&amp;Parameters'!$B$8,""))</f>
        <v/>
      </c>
      <c r="C880" s="8"/>
      <c r="E880" s="7" t="s">
        <v>25</v>
      </c>
      <c r="F880" s="8" t="s">
        <v>25</v>
      </c>
      <c r="I880" s="7" t="str">
        <f>IF(I879&lt;'Characteristics&amp;Parameters'!$B$17,ConcentrationsCalculations!I879+1,IF(I879="DS Node","",IF(I879="","","DS Node")))</f>
        <v/>
      </c>
      <c r="J880" s="13" t="str">
        <f>IF(I880="DS Node",'Characteristics&amp;Parameters'!$B$8,IF(I880&lt;='Characteristics&amp;Parameters'!$B$17,((1-'Characteristics&amp;Parameters'!$B$19)*ConcentrationsCalculations!F880+'Characteristics&amp;Parameters'!$B$19*ConcentrationsCalculations!F879-F880/86400*'Characteristics&amp;Parameters'!$B$11*'Characteristics&amp;Parameters'!$B$12),""))</f>
        <v/>
      </c>
    </row>
    <row r="881" spans="1:10" x14ac:dyDescent="0.5">
      <c r="A881" s="7" t="str">
        <f>IF(A880&lt;'Characteristics&amp;Parameters'!$B$17,ConcentrationsCalculations!A880+1,IF(A880="DS Node","",IF(A880="","","DS Node")))</f>
        <v/>
      </c>
      <c r="B881" s="8" t="str">
        <f>IF(A881&lt;='Characteristics&amp;Parameters'!$B$17,'Characteristics&amp;Parameters'!$B$7,IF(ConcentrationsCalculations!A881="DS Node",'Characteristics&amp;Parameters'!$B$8,""))</f>
        <v/>
      </c>
      <c r="C881" s="8"/>
      <c r="E881" s="7" t="s">
        <v>25</v>
      </c>
      <c r="F881" s="8" t="s">
        <v>25</v>
      </c>
      <c r="I881" s="7" t="str">
        <f>IF(I880&lt;'Characteristics&amp;Parameters'!$B$17,ConcentrationsCalculations!I880+1,IF(I880="DS Node","",IF(I880="","","DS Node")))</f>
        <v/>
      </c>
      <c r="J881" s="13" t="str">
        <f>IF(I881="DS Node",'Characteristics&amp;Parameters'!$B$8,IF(I881&lt;='Characteristics&amp;Parameters'!$B$17,((1-'Characteristics&amp;Parameters'!$B$19)*ConcentrationsCalculations!F881+'Characteristics&amp;Parameters'!$B$19*ConcentrationsCalculations!F880-F881/86400*'Characteristics&amp;Parameters'!$B$11*'Characteristics&amp;Parameters'!$B$12),""))</f>
        <v/>
      </c>
    </row>
    <row r="882" spans="1:10" x14ac:dyDescent="0.5">
      <c r="A882" s="7" t="str">
        <f>IF(A881&lt;'Characteristics&amp;Parameters'!$B$17,ConcentrationsCalculations!A881+1,IF(A881="DS Node","",IF(A881="","","DS Node")))</f>
        <v/>
      </c>
      <c r="B882" s="8" t="str">
        <f>IF(A882&lt;='Characteristics&amp;Parameters'!$B$17,'Characteristics&amp;Parameters'!$B$7,IF(ConcentrationsCalculations!A882="DS Node",'Characteristics&amp;Parameters'!$B$8,""))</f>
        <v/>
      </c>
      <c r="C882" s="8"/>
      <c r="E882" s="7" t="s">
        <v>25</v>
      </c>
      <c r="F882" s="8" t="s">
        <v>25</v>
      </c>
      <c r="I882" s="7" t="str">
        <f>IF(I881&lt;'Characteristics&amp;Parameters'!$B$17,ConcentrationsCalculations!I881+1,IF(I881="DS Node","",IF(I881="","","DS Node")))</f>
        <v/>
      </c>
      <c r="J882" s="13" t="str">
        <f>IF(I882="DS Node",'Characteristics&amp;Parameters'!$B$8,IF(I882&lt;='Characteristics&amp;Parameters'!$B$17,((1-'Characteristics&amp;Parameters'!$B$19)*ConcentrationsCalculations!F882+'Characteristics&amp;Parameters'!$B$19*ConcentrationsCalculations!F881-F882/86400*'Characteristics&amp;Parameters'!$B$11*'Characteristics&amp;Parameters'!$B$12),""))</f>
        <v/>
      </c>
    </row>
    <row r="883" spans="1:10" x14ac:dyDescent="0.5">
      <c r="A883" s="7" t="str">
        <f>IF(A882&lt;'Characteristics&amp;Parameters'!$B$17,ConcentrationsCalculations!A882+1,IF(A882="DS Node","",IF(A882="","","DS Node")))</f>
        <v/>
      </c>
      <c r="B883" s="8" t="str">
        <f>IF(A883&lt;='Characteristics&amp;Parameters'!$B$17,'Characteristics&amp;Parameters'!$B$7,IF(ConcentrationsCalculations!A883="DS Node",'Characteristics&amp;Parameters'!$B$8,""))</f>
        <v/>
      </c>
      <c r="C883" s="8"/>
      <c r="E883" s="7" t="s">
        <v>25</v>
      </c>
      <c r="F883" s="8" t="s">
        <v>25</v>
      </c>
      <c r="I883" s="7" t="str">
        <f>IF(I882&lt;'Characteristics&amp;Parameters'!$B$17,ConcentrationsCalculations!I882+1,IF(I882="DS Node","",IF(I882="","","DS Node")))</f>
        <v/>
      </c>
      <c r="J883" s="13" t="str">
        <f>IF(I883="DS Node",'Characteristics&amp;Parameters'!$B$8,IF(I883&lt;='Characteristics&amp;Parameters'!$B$17,((1-'Characteristics&amp;Parameters'!$B$19)*ConcentrationsCalculations!F883+'Characteristics&amp;Parameters'!$B$19*ConcentrationsCalculations!F882-F883/86400*'Characteristics&amp;Parameters'!$B$11*'Characteristics&amp;Parameters'!$B$12),""))</f>
        <v/>
      </c>
    </row>
    <row r="884" spans="1:10" x14ac:dyDescent="0.5">
      <c r="A884" s="7" t="str">
        <f>IF(A883&lt;'Characteristics&amp;Parameters'!$B$17,ConcentrationsCalculations!A883+1,IF(A883="DS Node","",IF(A883="","","DS Node")))</f>
        <v/>
      </c>
      <c r="B884" s="8" t="str">
        <f>IF(A884&lt;='Characteristics&amp;Parameters'!$B$17,'Characteristics&amp;Parameters'!$B$7,IF(ConcentrationsCalculations!A884="DS Node",'Characteristics&amp;Parameters'!$B$8,""))</f>
        <v/>
      </c>
      <c r="C884" s="8"/>
      <c r="E884" s="7" t="s">
        <v>25</v>
      </c>
      <c r="F884" s="8" t="s">
        <v>25</v>
      </c>
      <c r="I884" s="7" t="str">
        <f>IF(I883&lt;'Characteristics&amp;Parameters'!$B$17,ConcentrationsCalculations!I883+1,IF(I883="DS Node","",IF(I883="","","DS Node")))</f>
        <v/>
      </c>
      <c r="J884" s="13" t="str">
        <f>IF(I884="DS Node",'Characteristics&amp;Parameters'!$B$8,IF(I884&lt;='Characteristics&amp;Parameters'!$B$17,((1-'Characteristics&amp;Parameters'!$B$19)*ConcentrationsCalculations!F884+'Characteristics&amp;Parameters'!$B$19*ConcentrationsCalculations!F883-F884/86400*'Characteristics&amp;Parameters'!$B$11*'Characteristics&amp;Parameters'!$B$12),""))</f>
        <v/>
      </c>
    </row>
    <row r="885" spans="1:10" x14ac:dyDescent="0.5">
      <c r="A885" s="7" t="str">
        <f>IF(A884&lt;'Characteristics&amp;Parameters'!$B$17,ConcentrationsCalculations!A884+1,IF(A884="DS Node","",IF(A884="","","DS Node")))</f>
        <v/>
      </c>
      <c r="B885" s="8" t="str">
        <f>IF(A885&lt;='Characteristics&amp;Parameters'!$B$17,'Characteristics&amp;Parameters'!$B$7,IF(ConcentrationsCalculations!A885="DS Node",'Characteristics&amp;Parameters'!$B$8,""))</f>
        <v/>
      </c>
      <c r="C885" s="8"/>
      <c r="E885" s="7" t="s">
        <v>25</v>
      </c>
      <c r="F885" s="8" t="s">
        <v>25</v>
      </c>
      <c r="I885" s="7" t="str">
        <f>IF(I884&lt;'Characteristics&amp;Parameters'!$B$17,ConcentrationsCalculations!I884+1,IF(I884="DS Node","",IF(I884="","","DS Node")))</f>
        <v/>
      </c>
      <c r="J885" s="13" t="str">
        <f>IF(I885="DS Node",'Characteristics&amp;Parameters'!$B$8,IF(I885&lt;='Characteristics&amp;Parameters'!$B$17,((1-'Characteristics&amp;Parameters'!$B$19)*ConcentrationsCalculations!F885+'Characteristics&amp;Parameters'!$B$19*ConcentrationsCalculations!F884-F885/86400*'Characteristics&amp;Parameters'!$B$11*'Characteristics&amp;Parameters'!$B$12),""))</f>
        <v/>
      </c>
    </row>
    <row r="886" spans="1:10" x14ac:dyDescent="0.5">
      <c r="A886" s="7" t="str">
        <f>IF(A885&lt;'Characteristics&amp;Parameters'!$B$17,ConcentrationsCalculations!A885+1,IF(A885="DS Node","",IF(A885="","","DS Node")))</f>
        <v/>
      </c>
      <c r="B886" s="8" t="str">
        <f>IF(A886&lt;='Characteristics&amp;Parameters'!$B$17,'Characteristics&amp;Parameters'!$B$7,IF(ConcentrationsCalculations!A886="DS Node",'Characteristics&amp;Parameters'!$B$8,""))</f>
        <v/>
      </c>
      <c r="C886" s="8"/>
      <c r="E886" s="7" t="s">
        <v>25</v>
      </c>
      <c r="F886" s="8" t="s">
        <v>25</v>
      </c>
      <c r="I886" s="7" t="str">
        <f>IF(I885&lt;'Characteristics&amp;Parameters'!$B$17,ConcentrationsCalculations!I885+1,IF(I885="DS Node","",IF(I885="","","DS Node")))</f>
        <v/>
      </c>
      <c r="J886" s="13" t="str">
        <f>IF(I886="DS Node",'Characteristics&amp;Parameters'!$B$8,IF(I886&lt;='Characteristics&amp;Parameters'!$B$17,((1-'Characteristics&amp;Parameters'!$B$19)*ConcentrationsCalculations!F886+'Characteristics&amp;Parameters'!$B$19*ConcentrationsCalculations!F885-F886/86400*'Characteristics&amp;Parameters'!$B$11*'Characteristics&amp;Parameters'!$B$12),""))</f>
        <v/>
      </c>
    </row>
    <row r="887" spans="1:10" x14ac:dyDescent="0.5">
      <c r="A887" s="7" t="str">
        <f>IF(A886&lt;'Characteristics&amp;Parameters'!$B$17,ConcentrationsCalculations!A886+1,IF(A886="DS Node","",IF(A886="","","DS Node")))</f>
        <v/>
      </c>
      <c r="B887" s="8" t="str">
        <f>IF(A887&lt;='Characteristics&amp;Parameters'!$B$17,'Characteristics&amp;Parameters'!$B$7,IF(ConcentrationsCalculations!A887="DS Node",'Characteristics&amp;Parameters'!$B$8,""))</f>
        <v/>
      </c>
      <c r="C887" s="8"/>
      <c r="E887" s="7" t="s">
        <v>25</v>
      </c>
      <c r="F887" s="8" t="s">
        <v>25</v>
      </c>
      <c r="I887" s="7" t="str">
        <f>IF(I886&lt;'Characteristics&amp;Parameters'!$B$17,ConcentrationsCalculations!I886+1,IF(I886="DS Node","",IF(I886="","","DS Node")))</f>
        <v/>
      </c>
      <c r="J887" s="13" t="str">
        <f>IF(I887="DS Node",'Characteristics&amp;Parameters'!$B$8,IF(I887&lt;='Characteristics&amp;Parameters'!$B$17,((1-'Characteristics&amp;Parameters'!$B$19)*ConcentrationsCalculations!F887+'Characteristics&amp;Parameters'!$B$19*ConcentrationsCalculations!F886-F887/86400*'Characteristics&amp;Parameters'!$B$11*'Characteristics&amp;Parameters'!$B$12),""))</f>
        <v/>
      </c>
    </row>
    <row r="888" spans="1:10" x14ac:dyDescent="0.5">
      <c r="A888" s="7" t="str">
        <f>IF(A887&lt;'Characteristics&amp;Parameters'!$B$17,ConcentrationsCalculations!A887+1,IF(A887="DS Node","",IF(A887="","","DS Node")))</f>
        <v/>
      </c>
      <c r="B888" s="8" t="str">
        <f>IF(A888&lt;='Characteristics&amp;Parameters'!$B$17,'Characteristics&amp;Parameters'!$B$7,IF(ConcentrationsCalculations!A888="DS Node",'Characteristics&amp;Parameters'!$B$8,""))</f>
        <v/>
      </c>
      <c r="C888" s="8"/>
      <c r="E888" s="7" t="s">
        <v>25</v>
      </c>
      <c r="F888" s="8" t="s">
        <v>25</v>
      </c>
      <c r="I888" s="7" t="str">
        <f>IF(I887&lt;'Characteristics&amp;Parameters'!$B$17,ConcentrationsCalculations!I887+1,IF(I887="DS Node","",IF(I887="","","DS Node")))</f>
        <v/>
      </c>
      <c r="J888" s="13" t="str">
        <f>IF(I888="DS Node",'Characteristics&amp;Parameters'!$B$8,IF(I888&lt;='Characteristics&amp;Parameters'!$B$17,((1-'Characteristics&amp;Parameters'!$B$19)*ConcentrationsCalculations!F888+'Characteristics&amp;Parameters'!$B$19*ConcentrationsCalculations!F887-F888/86400*'Characteristics&amp;Parameters'!$B$11*'Characteristics&amp;Parameters'!$B$12),""))</f>
        <v/>
      </c>
    </row>
    <row r="889" spans="1:10" x14ac:dyDescent="0.5">
      <c r="A889" s="7" t="str">
        <f>IF(A888&lt;'Characteristics&amp;Parameters'!$B$17,ConcentrationsCalculations!A888+1,IF(A888="DS Node","",IF(A888="","","DS Node")))</f>
        <v/>
      </c>
      <c r="B889" s="8" t="str">
        <f>IF(A889&lt;='Characteristics&amp;Parameters'!$B$17,'Characteristics&amp;Parameters'!$B$7,IF(ConcentrationsCalculations!A889="DS Node",'Characteristics&amp;Parameters'!$B$8,""))</f>
        <v/>
      </c>
      <c r="C889" s="8"/>
      <c r="E889" s="7" t="s">
        <v>25</v>
      </c>
      <c r="F889" s="8" t="s">
        <v>25</v>
      </c>
      <c r="I889" s="7" t="str">
        <f>IF(I888&lt;'Characteristics&amp;Parameters'!$B$17,ConcentrationsCalculations!I888+1,IF(I888="DS Node","",IF(I888="","","DS Node")))</f>
        <v/>
      </c>
      <c r="J889" s="13" t="str">
        <f>IF(I889="DS Node",'Characteristics&amp;Parameters'!$B$8,IF(I889&lt;='Characteristics&amp;Parameters'!$B$17,((1-'Characteristics&amp;Parameters'!$B$19)*ConcentrationsCalculations!F889+'Characteristics&amp;Parameters'!$B$19*ConcentrationsCalculations!F888-F889/86400*'Characteristics&amp;Parameters'!$B$11*'Characteristics&amp;Parameters'!$B$12),""))</f>
        <v/>
      </c>
    </row>
    <row r="890" spans="1:10" x14ac:dyDescent="0.5">
      <c r="A890" s="7" t="str">
        <f>IF(A889&lt;'Characteristics&amp;Parameters'!$B$17,ConcentrationsCalculations!A889+1,IF(A889="DS Node","",IF(A889="","","DS Node")))</f>
        <v/>
      </c>
      <c r="B890" s="8" t="str">
        <f>IF(A890&lt;='Characteristics&amp;Parameters'!$B$17,'Characteristics&amp;Parameters'!$B$7,IF(ConcentrationsCalculations!A890="DS Node",'Characteristics&amp;Parameters'!$B$8,""))</f>
        <v/>
      </c>
      <c r="C890" s="8"/>
      <c r="E890" s="7" t="s">
        <v>25</v>
      </c>
      <c r="F890" s="8" t="s">
        <v>25</v>
      </c>
      <c r="I890" s="7" t="str">
        <f>IF(I889&lt;'Characteristics&amp;Parameters'!$B$17,ConcentrationsCalculations!I889+1,IF(I889="DS Node","",IF(I889="","","DS Node")))</f>
        <v/>
      </c>
      <c r="J890" s="13" t="str">
        <f>IF(I890="DS Node",'Characteristics&amp;Parameters'!$B$8,IF(I890&lt;='Characteristics&amp;Parameters'!$B$17,((1-'Characteristics&amp;Parameters'!$B$19)*ConcentrationsCalculations!F890+'Characteristics&amp;Parameters'!$B$19*ConcentrationsCalculations!F889-F890/86400*'Characteristics&amp;Parameters'!$B$11*'Characteristics&amp;Parameters'!$B$12),""))</f>
        <v/>
      </c>
    </row>
    <row r="891" spans="1:10" x14ac:dyDescent="0.5">
      <c r="A891" s="7" t="str">
        <f>IF(A890&lt;'Characteristics&amp;Parameters'!$B$17,ConcentrationsCalculations!A890+1,IF(A890="DS Node","",IF(A890="","","DS Node")))</f>
        <v/>
      </c>
      <c r="B891" s="8" t="str">
        <f>IF(A891&lt;='Characteristics&amp;Parameters'!$B$17,'Characteristics&amp;Parameters'!$B$7,IF(ConcentrationsCalculations!A891="DS Node",'Characteristics&amp;Parameters'!$B$8,""))</f>
        <v/>
      </c>
      <c r="C891" s="8"/>
      <c r="E891" s="7" t="s">
        <v>25</v>
      </c>
      <c r="F891" s="8" t="s">
        <v>25</v>
      </c>
      <c r="I891" s="7" t="str">
        <f>IF(I890&lt;'Characteristics&amp;Parameters'!$B$17,ConcentrationsCalculations!I890+1,IF(I890="DS Node","",IF(I890="","","DS Node")))</f>
        <v/>
      </c>
      <c r="J891" s="13" t="str">
        <f>IF(I891="DS Node",'Characteristics&amp;Parameters'!$B$8,IF(I891&lt;='Characteristics&amp;Parameters'!$B$17,((1-'Characteristics&amp;Parameters'!$B$19)*ConcentrationsCalculations!F891+'Characteristics&amp;Parameters'!$B$19*ConcentrationsCalculations!F890-F891/86400*'Characteristics&amp;Parameters'!$B$11*'Characteristics&amp;Parameters'!$B$12),""))</f>
        <v/>
      </c>
    </row>
    <row r="892" spans="1:10" x14ac:dyDescent="0.5">
      <c r="A892" s="7" t="str">
        <f>IF(A891&lt;'Characteristics&amp;Parameters'!$B$17,ConcentrationsCalculations!A891+1,IF(A891="DS Node","",IF(A891="","","DS Node")))</f>
        <v/>
      </c>
      <c r="B892" s="8" t="str">
        <f>IF(A892&lt;='Characteristics&amp;Parameters'!$B$17,'Characteristics&amp;Parameters'!$B$7,IF(ConcentrationsCalculations!A892="DS Node",'Characteristics&amp;Parameters'!$B$8,""))</f>
        <v/>
      </c>
      <c r="C892" s="8"/>
      <c r="E892" s="7" t="s">
        <v>25</v>
      </c>
      <c r="F892" s="8" t="s">
        <v>25</v>
      </c>
      <c r="I892" s="7" t="str">
        <f>IF(I891&lt;'Characteristics&amp;Parameters'!$B$17,ConcentrationsCalculations!I891+1,IF(I891="DS Node","",IF(I891="","","DS Node")))</f>
        <v/>
      </c>
      <c r="J892" s="13" t="str">
        <f>IF(I892="DS Node",'Characteristics&amp;Parameters'!$B$8,IF(I892&lt;='Characteristics&amp;Parameters'!$B$17,((1-'Characteristics&amp;Parameters'!$B$19)*ConcentrationsCalculations!F892+'Characteristics&amp;Parameters'!$B$19*ConcentrationsCalculations!F891-F892/86400*'Characteristics&amp;Parameters'!$B$11*'Characteristics&amp;Parameters'!$B$12),""))</f>
        <v/>
      </c>
    </row>
    <row r="893" spans="1:10" x14ac:dyDescent="0.5">
      <c r="A893" s="7" t="str">
        <f>IF(A892&lt;'Characteristics&amp;Parameters'!$B$17,ConcentrationsCalculations!A892+1,IF(A892="DS Node","",IF(A892="","","DS Node")))</f>
        <v/>
      </c>
      <c r="B893" s="8" t="str">
        <f>IF(A893&lt;='Characteristics&amp;Parameters'!$B$17,'Characteristics&amp;Parameters'!$B$7,IF(ConcentrationsCalculations!A893="DS Node",'Characteristics&amp;Parameters'!$B$8,""))</f>
        <v/>
      </c>
      <c r="C893" s="8"/>
      <c r="E893" s="7" t="s">
        <v>25</v>
      </c>
      <c r="F893" s="8" t="s">
        <v>25</v>
      </c>
      <c r="I893" s="7" t="str">
        <f>IF(I892&lt;'Characteristics&amp;Parameters'!$B$17,ConcentrationsCalculations!I892+1,IF(I892="DS Node","",IF(I892="","","DS Node")))</f>
        <v/>
      </c>
      <c r="J893" s="13" t="str">
        <f>IF(I893="DS Node",'Characteristics&amp;Parameters'!$B$8,IF(I893&lt;='Characteristics&amp;Parameters'!$B$17,((1-'Characteristics&amp;Parameters'!$B$19)*ConcentrationsCalculations!F893+'Characteristics&amp;Parameters'!$B$19*ConcentrationsCalculations!F892-F893/86400*'Characteristics&amp;Parameters'!$B$11*'Characteristics&amp;Parameters'!$B$12),""))</f>
        <v/>
      </c>
    </row>
    <row r="894" spans="1:10" x14ac:dyDescent="0.5">
      <c r="A894" s="7" t="str">
        <f>IF(A893&lt;'Characteristics&amp;Parameters'!$B$17,ConcentrationsCalculations!A893+1,IF(A893="DS Node","",IF(A893="","","DS Node")))</f>
        <v/>
      </c>
      <c r="B894" s="8" t="str">
        <f>IF(A894&lt;='Characteristics&amp;Parameters'!$B$17,'Characteristics&amp;Parameters'!$B$7,IF(ConcentrationsCalculations!A894="DS Node",'Characteristics&amp;Parameters'!$B$8,""))</f>
        <v/>
      </c>
      <c r="C894" s="8"/>
      <c r="E894" s="7" t="s">
        <v>25</v>
      </c>
      <c r="F894" s="8" t="s">
        <v>25</v>
      </c>
      <c r="I894" s="7" t="str">
        <f>IF(I893&lt;'Characteristics&amp;Parameters'!$B$17,ConcentrationsCalculations!I893+1,IF(I893="DS Node","",IF(I893="","","DS Node")))</f>
        <v/>
      </c>
      <c r="J894" s="13" t="str">
        <f>IF(I894="DS Node",'Characteristics&amp;Parameters'!$B$8,IF(I894&lt;='Characteristics&amp;Parameters'!$B$17,((1-'Characteristics&amp;Parameters'!$B$19)*ConcentrationsCalculations!F894+'Characteristics&amp;Parameters'!$B$19*ConcentrationsCalculations!F893-F894/86400*'Characteristics&amp;Parameters'!$B$11*'Characteristics&amp;Parameters'!$B$12),""))</f>
        <v/>
      </c>
    </row>
    <row r="895" spans="1:10" x14ac:dyDescent="0.5">
      <c r="A895" s="7" t="str">
        <f>IF(A894&lt;'Characteristics&amp;Parameters'!$B$17,ConcentrationsCalculations!A894+1,IF(A894="DS Node","",IF(A894="","","DS Node")))</f>
        <v/>
      </c>
      <c r="B895" s="8" t="str">
        <f>IF(A895&lt;='Characteristics&amp;Parameters'!$B$17,'Characteristics&amp;Parameters'!$B$7,IF(ConcentrationsCalculations!A895="DS Node",'Characteristics&amp;Parameters'!$B$8,""))</f>
        <v/>
      </c>
      <c r="C895" s="8"/>
      <c r="E895" s="7" t="s">
        <v>25</v>
      </c>
      <c r="F895" s="8" t="s">
        <v>25</v>
      </c>
      <c r="I895" s="7" t="str">
        <f>IF(I894&lt;'Characteristics&amp;Parameters'!$B$17,ConcentrationsCalculations!I894+1,IF(I894="DS Node","",IF(I894="","","DS Node")))</f>
        <v/>
      </c>
      <c r="J895" s="13" t="str">
        <f>IF(I895="DS Node",'Characteristics&amp;Parameters'!$B$8,IF(I895&lt;='Characteristics&amp;Parameters'!$B$17,((1-'Characteristics&amp;Parameters'!$B$19)*ConcentrationsCalculations!F895+'Characteristics&amp;Parameters'!$B$19*ConcentrationsCalculations!F894-F895/86400*'Characteristics&amp;Parameters'!$B$11*'Characteristics&amp;Parameters'!$B$12),""))</f>
        <v/>
      </c>
    </row>
    <row r="896" spans="1:10" x14ac:dyDescent="0.5">
      <c r="A896" s="7" t="str">
        <f>IF(A895&lt;'Characteristics&amp;Parameters'!$B$17,ConcentrationsCalculations!A895+1,IF(A895="DS Node","",IF(A895="","","DS Node")))</f>
        <v/>
      </c>
      <c r="B896" s="8" t="str">
        <f>IF(A896&lt;='Characteristics&amp;Parameters'!$B$17,'Characteristics&amp;Parameters'!$B$7,IF(ConcentrationsCalculations!A896="DS Node",'Characteristics&amp;Parameters'!$B$8,""))</f>
        <v/>
      </c>
      <c r="C896" s="8"/>
      <c r="E896" s="7" t="s">
        <v>25</v>
      </c>
      <c r="F896" s="8" t="s">
        <v>25</v>
      </c>
      <c r="I896" s="7" t="str">
        <f>IF(I895&lt;'Characteristics&amp;Parameters'!$B$17,ConcentrationsCalculations!I895+1,IF(I895="DS Node","",IF(I895="","","DS Node")))</f>
        <v/>
      </c>
      <c r="J896" s="13" t="str">
        <f>IF(I896="DS Node",'Characteristics&amp;Parameters'!$B$8,IF(I896&lt;='Characteristics&amp;Parameters'!$B$17,((1-'Characteristics&amp;Parameters'!$B$19)*ConcentrationsCalculations!F896+'Characteristics&amp;Parameters'!$B$19*ConcentrationsCalculations!F895-F896/86400*'Characteristics&amp;Parameters'!$B$11*'Characteristics&amp;Parameters'!$B$12),""))</f>
        <v/>
      </c>
    </row>
    <row r="897" spans="1:10" x14ac:dyDescent="0.5">
      <c r="A897" s="7" t="str">
        <f>IF(A896&lt;'Characteristics&amp;Parameters'!$B$17,ConcentrationsCalculations!A896+1,IF(A896="DS Node","",IF(A896="","","DS Node")))</f>
        <v/>
      </c>
      <c r="B897" s="8" t="str">
        <f>IF(A897&lt;='Characteristics&amp;Parameters'!$B$17,'Characteristics&amp;Parameters'!$B$7,IF(ConcentrationsCalculations!A897="DS Node",'Characteristics&amp;Parameters'!$B$8,""))</f>
        <v/>
      </c>
      <c r="C897" s="8"/>
      <c r="E897" s="7" t="s">
        <v>25</v>
      </c>
      <c r="F897" s="8" t="s">
        <v>25</v>
      </c>
      <c r="I897" s="7" t="str">
        <f>IF(I896&lt;'Characteristics&amp;Parameters'!$B$17,ConcentrationsCalculations!I896+1,IF(I896="DS Node","",IF(I896="","","DS Node")))</f>
        <v/>
      </c>
      <c r="J897" s="13" t="str">
        <f>IF(I897="DS Node",'Characteristics&amp;Parameters'!$B$8,IF(I897&lt;='Characteristics&amp;Parameters'!$B$17,((1-'Characteristics&amp;Parameters'!$B$19)*ConcentrationsCalculations!F897+'Characteristics&amp;Parameters'!$B$19*ConcentrationsCalculations!F896-F897/86400*'Characteristics&amp;Parameters'!$B$11*'Characteristics&amp;Parameters'!$B$12),""))</f>
        <v/>
      </c>
    </row>
    <row r="898" spans="1:10" x14ac:dyDescent="0.5">
      <c r="A898" s="7" t="str">
        <f>IF(A897&lt;'Characteristics&amp;Parameters'!$B$17,ConcentrationsCalculations!A897+1,IF(A897="DS Node","",IF(A897="","","DS Node")))</f>
        <v/>
      </c>
      <c r="B898" s="8" t="str">
        <f>IF(A898&lt;='Characteristics&amp;Parameters'!$B$17,'Characteristics&amp;Parameters'!$B$7,IF(ConcentrationsCalculations!A898="DS Node",'Characteristics&amp;Parameters'!$B$8,""))</f>
        <v/>
      </c>
      <c r="C898" s="8"/>
      <c r="E898" s="7" t="s">
        <v>25</v>
      </c>
      <c r="F898" s="8" t="s">
        <v>25</v>
      </c>
      <c r="I898" s="7" t="str">
        <f>IF(I897&lt;'Characteristics&amp;Parameters'!$B$17,ConcentrationsCalculations!I897+1,IF(I897="DS Node","",IF(I897="","","DS Node")))</f>
        <v/>
      </c>
      <c r="J898" s="13" t="str">
        <f>IF(I898="DS Node",'Characteristics&amp;Parameters'!$B$8,IF(I898&lt;='Characteristics&amp;Parameters'!$B$17,((1-'Characteristics&amp;Parameters'!$B$19)*ConcentrationsCalculations!F898+'Characteristics&amp;Parameters'!$B$19*ConcentrationsCalculations!F897-F898/86400*'Characteristics&amp;Parameters'!$B$11*'Characteristics&amp;Parameters'!$B$12),""))</f>
        <v/>
      </c>
    </row>
    <row r="899" spans="1:10" x14ac:dyDescent="0.5">
      <c r="A899" s="7" t="str">
        <f>IF(A898&lt;'Characteristics&amp;Parameters'!$B$17,ConcentrationsCalculations!A898+1,IF(A898="DS Node","",IF(A898="","","DS Node")))</f>
        <v/>
      </c>
      <c r="B899" s="8" t="str">
        <f>IF(A899&lt;='Characteristics&amp;Parameters'!$B$17,'Characteristics&amp;Parameters'!$B$7,IF(ConcentrationsCalculations!A899="DS Node",'Characteristics&amp;Parameters'!$B$8,""))</f>
        <v/>
      </c>
      <c r="C899" s="8"/>
      <c r="E899" s="7" t="s">
        <v>25</v>
      </c>
      <c r="F899" s="8" t="s">
        <v>25</v>
      </c>
      <c r="I899" s="7" t="str">
        <f>IF(I898&lt;'Characteristics&amp;Parameters'!$B$17,ConcentrationsCalculations!I898+1,IF(I898="DS Node","",IF(I898="","","DS Node")))</f>
        <v/>
      </c>
      <c r="J899" s="13" t="str">
        <f>IF(I899="DS Node",'Characteristics&amp;Parameters'!$B$8,IF(I899&lt;='Characteristics&amp;Parameters'!$B$17,((1-'Characteristics&amp;Parameters'!$B$19)*ConcentrationsCalculations!F899+'Characteristics&amp;Parameters'!$B$19*ConcentrationsCalculations!F898-F899/86400*'Characteristics&amp;Parameters'!$B$11*'Characteristics&amp;Parameters'!$B$12),""))</f>
        <v/>
      </c>
    </row>
    <row r="900" spans="1:10" x14ac:dyDescent="0.5">
      <c r="A900" s="7" t="str">
        <f>IF(A899&lt;'Characteristics&amp;Parameters'!$B$17,ConcentrationsCalculations!A899+1,IF(A899="DS Node","",IF(A899="","","DS Node")))</f>
        <v/>
      </c>
      <c r="B900" s="8" t="str">
        <f>IF(A900&lt;='Characteristics&amp;Parameters'!$B$17,'Characteristics&amp;Parameters'!$B$7,IF(ConcentrationsCalculations!A900="DS Node",'Characteristics&amp;Parameters'!$B$8,""))</f>
        <v/>
      </c>
      <c r="C900" s="8"/>
      <c r="E900" s="7" t="s">
        <v>25</v>
      </c>
      <c r="F900" s="8" t="s">
        <v>25</v>
      </c>
      <c r="I900" s="7" t="str">
        <f>IF(I899&lt;'Characteristics&amp;Parameters'!$B$17,ConcentrationsCalculations!I899+1,IF(I899="DS Node","",IF(I899="","","DS Node")))</f>
        <v/>
      </c>
      <c r="J900" s="13" t="str">
        <f>IF(I900="DS Node",'Characteristics&amp;Parameters'!$B$8,IF(I900&lt;='Characteristics&amp;Parameters'!$B$17,((1-'Characteristics&amp;Parameters'!$B$19)*ConcentrationsCalculations!F900+'Characteristics&amp;Parameters'!$B$19*ConcentrationsCalculations!F899-F900/86400*'Characteristics&amp;Parameters'!$B$11*'Characteristics&amp;Parameters'!$B$12),""))</f>
        <v/>
      </c>
    </row>
    <row r="901" spans="1:10" x14ac:dyDescent="0.5">
      <c r="A901" s="7" t="str">
        <f>IF(A900&lt;'Characteristics&amp;Parameters'!$B$17,ConcentrationsCalculations!A900+1,IF(A900="DS Node","",IF(A900="","","DS Node")))</f>
        <v/>
      </c>
      <c r="B901" s="8" t="str">
        <f>IF(A901&lt;='Characteristics&amp;Parameters'!$B$17,'Characteristics&amp;Parameters'!$B$7,IF(ConcentrationsCalculations!A901="DS Node",'Characteristics&amp;Parameters'!$B$8,""))</f>
        <v/>
      </c>
      <c r="C901" s="8"/>
      <c r="E901" s="7" t="s">
        <v>25</v>
      </c>
      <c r="F901" s="8" t="s">
        <v>25</v>
      </c>
      <c r="I901" s="7" t="str">
        <f>IF(I900&lt;'Characteristics&amp;Parameters'!$B$17,ConcentrationsCalculations!I900+1,IF(I900="DS Node","",IF(I900="","","DS Node")))</f>
        <v/>
      </c>
      <c r="J901" s="13" t="str">
        <f>IF(I901="DS Node",'Characteristics&amp;Parameters'!$B$8,IF(I901&lt;='Characteristics&amp;Parameters'!$B$17,((1-'Characteristics&amp;Parameters'!$B$19)*ConcentrationsCalculations!F901+'Characteristics&amp;Parameters'!$B$19*ConcentrationsCalculations!F900-F901/86400*'Characteristics&amp;Parameters'!$B$11*'Characteristics&amp;Parameters'!$B$12),""))</f>
        <v/>
      </c>
    </row>
    <row r="902" spans="1:10" x14ac:dyDescent="0.5">
      <c r="A902" s="7" t="str">
        <f>IF(A901&lt;'Characteristics&amp;Parameters'!$B$17,ConcentrationsCalculations!A901+1,IF(A901="DS Node","",IF(A901="","","DS Node")))</f>
        <v/>
      </c>
      <c r="B902" s="8" t="str">
        <f>IF(A902&lt;='Characteristics&amp;Parameters'!$B$17,'Characteristics&amp;Parameters'!$B$7,IF(ConcentrationsCalculations!A902="DS Node",'Characteristics&amp;Parameters'!$B$8,""))</f>
        <v/>
      </c>
      <c r="C902" s="8"/>
      <c r="E902" s="7" t="s">
        <v>25</v>
      </c>
      <c r="F902" s="8" t="s">
        <v>25</v>
      </c>
      <c r="I902" s="7" t="str">
        <f>IF(I901&lt;'Characteristics&amp;Parameters'!$B$17,ConcentrationsCalculations!I901+1,IF(I901="DS Node","",IF(I901="","","DS Node")))</f>
        <v/>
      </c>
      <c r="J902" s="13" t="str">
        <f>IF(I902="DS Node",'Characteristics&amp;Parameters'!$B$8,IF(I902&lt;='Characteristics&amp;Parameters'!$B$17,((1-'Characteristics&amp;Parameters'!$B$19)*ConcentrationsCalculations!F902+'Characteristics&amp;Parameters'!$B$19*ConcentrationsCalculations!F901-F902/86400*'Characteristics&amp;Parameters'!$B$11*'Characteristics&amp;Parameters'!$B$12),""))</f>
        <v/>
      </c>
    </row>
    <row r="903" spans="1:10" x14ac:dyDescent="0.5">
      <c r="A903" s="7" t="str">
        <f>IF(A902&lt;'Characteristics&amp;Parameters'!$B$17,ConcentrationsCalculations!A902+1,IF(A902="DS Node","",IF(A902="","","DS Node")))</f>
        <v/>
      </c>
      <c r="B903" s="8" t="str">
        <f>IF(A903&lt;='Characteristics&amp;Parameters'!$B$17,'Characteristics&amp;Parameters'!$B$7,IF(ConcentrationsCalculations!A903="DS Node",'Characteristics&amp;Parameters'!$B$8,""))</f>
        <v/>
      </c>
      <c r="C903" s="8"/>
      <c r="E903" s="7" t="s">
        <v>25</v>
      </c>
      <c r="F903" s="8" t="s">
        <v>25</v>
      </c>
      <c r="I903" s="7" t="str">
        <f>IF(I902&lt;'Characteristics&amp;Parameters'!$B$17,ConcentrationsCalculations!I902+1,IF(I902="DS Node","",IF(I902="","","DS Node")))</f>
        <v/>
      </c>
      <c r="J903" s="13" t="str">
        <f>IF(I903="DS Node",'Characteristics&amp;Parameters'!$B$8,IF(I903&lt;='Characteristics&amp;Parameters'!$B$17,((1-'Characteristics&amp;Parameters'!$B$19)*ConcentrationsCalculations!F903+'Characteristics&amp;Parameters'!$B$19*ConcentrationsCalculations!F902-F903/86400*'Characteristics&amp;Parameters'!$B$11*'Characteristics&amp;Parameters'!$B$12),""))</f>
        <v/>
      </c>
    </row>
    <row r="904" spans="1:10" x14ac:dyDescent="0.5">
      <c r="A904" s="7" t="str">
        <f>IF(A903&lt;'Characteristics&amp;Parameters'!$B$17,ConcentrationsCalculations!A903+1,IF(A903="DS Node","",IF(A903="","","DS Node")))</f>
        <v/>
      </c>
      <c r="B904" s="8" t="str">
        <f>IF(A904&lt;='Characteristics&amp;Parameters'!$B$17,'Characteristics&amp;Parameters'!$B$7,IF(ConcentrationsCalculations!A904="DS Node",'Characteristics&amp;Parameters'!$B$8,""))</f>
        <v/>
      </c>
      <c r="C904" s="8"/>
      <c r="E904" s="7" t="s">
        <v>25</v>
      </c>
      <c r="F904" s="8" t="s">
        <v>25</v>
      </c>
      <c r="I904" s="7" t="str">
        <f>IF(I903&lt;'Characteristics&amp;Parameters'!$B$17,ConcentrationsCalculations!I903+1,IF(I903="DS Node","",IF(I903="","","DS Node")))</f>
        <v/>
      </c>
      <c r="J904" s="13" t="str">
        <f>IF(I904="DS Node",'Characteristics&amp;Parameters'!$B$8,IF(I904&lt;='Characteristics&amp;Parameters'!$B$17,((1-'Characteristics&amp;Parameters'!$B$19)*ConcentrationsCalculations!F904+'Characteristics&amp;Parameters'!$B$19*ConcentrationsCalculations!F903-F904/86400*'Characteristics&amp;Parameters'!$B$11*'Characteristics&amp;Parameters'!$B$12),""))</f>
        <v/>
      </c>
    </row>
    <row r="905" spans="1:10" x14ac:dyDescent="0.5">
      <c r="A905" s="7" t="str">
        <f>IF(A904&lt;'Characteristics&amp;Parameters'!$B$17,ConcentrationsCalculations!A904+1,IF(A904="DS Node","",IF(A904="","","DS Node")))</f>
        <v/>
      </c>
      <c r="B905" s="8" t="str">
        <f>IF(A905&lt;='Characteristics&amp;Parameters'!$B$17,'Characteristics&amp;Parameters'!$B$7,IF(ConcentrationsCalculations!A905="DS Node",'Characteristics&amp;Parameters'!$B$8,""))</f>
        <v/>
      </c>
      <c r="C905" s="8"/>
      <c r="E905" s="7" t="s">
        <v>25</v>
      </c>
      <c r="F905" s="8" t="s">
        <v>25</v>
      </c>
      <c r="I905" s="7" t="str">
        <f>IF(I904&lt;'Characteristics&amp;Parameters'!$B$17,ConcentrationsCalculations!I904+1,IF(I904="DS Node","",IF(I904="","","DS Node")))</f>
        <v/>
      </c>
      <c r="J905" s="13" t="str">
        <f>IF(I905="DS Node",'Characteristics&amp;Parameters'!$B$8,IF(I905&lt;='Characteristics&amp;Parameters'!$B$17,((1-'Characteristics&amp;Parameters'!$B$19)*ConcentrationsCalculations!F905+'Characteristics&amp;Parameters'!$B$19*ConcentrationsCalculations!F904-F905/86400*'Characteristics&amp;Parameters'!$B$11*'Characteristics&amp;Parameters'!$B$12),""))</f>
        <v/>
      </c>
    </row>
    <row r="906" spans="1:10" x14ac:dyDescent="0.5">
      <c r="A906" s="7" t="str">
        <f>IF(A905&lt;'Characteristics&amp;Parameters'!$B$17,ConcentrationsCalculations!A905+1,IF(A905="DS Node","",IF(A905="","","DS Node")))</f>
        <v/>
      </c>
      <c r="B906" s="8" t="str">
        <f>IF(A906&lt;='Characteristics&amp;Parameters'!$B$17,'Characteristics&amp;Parameters'!$B$7,IF(ConcentrationsCalculations!A906="DS Node",'Characteristics&amp;Parameters'!$B$8,""))</f>
        <v/>
      </c>
      <c r="C906" s="8"/>
      <c r="E906" s="7" t="s">
        <v>25</v>
      </c>
      <c r="F906" s="8" t="s">
        <v>25</v>
      </c>
      <c r="I906" s="7" t="str">
        <f>IF(I905&lt;'Characteristics&amp;Parameters'!$B$17,ConcentrationsCalculations!I905+1,IF(I905="DS Node","",IF(I905="","","DS Node")))</f>
        <v/>
      </c>
      <c r="J906" s="13" t="str">
        <f>IF(I906="DS Node",'Characteristics&amp;Parameters'!$B$8,IF(I906&lt;='Characteristics&amp;Parameters'!$B$17,((1-'Characteristics&amp;Parameters'!$B$19)*ConcentrationsCalculations!F906+'Characteristics&amp;Parameters'!$B$19*ConcentrationsCalculations!F905-F906/86400*'Characteristics&amp;Parameters'!$B$11*'Characteristics&amp;Parameters'!$B$12),""))</f>
        <v/>
      </c>
    </row>
    <row r="907" spans="1:10" x14ac:dyDescent="0.5">
      <c r="A907" s="7" t="str">
        <f>IF(A906&lt;'Characteristics&amp;Parameters'!$B$17,ConcentrationsCalculations!A906+1,IF(A906="DS Node","",IF(A906="","","DS Node")))</f>
        <v/>
      </c>
      <c r="B907" s="8" t="str">
        <f>IF(A907&lt;='Characteristics&amp;Parameters'!$B$17,'Characteristics&amp;Parameters'!$B$7,IF(ConcentrationsCalculations!A907="DS Node",'Characteristics&amp;Parameters'!$B$8,""))</f>
        <v/>
      </c>
      <c r="C907" s="8"/>
      <c r="E907" s="7" t="s">
        <v>25</v>
      </c>
      <c r="F907" s="8" t="s">
        <v>25</v>
      </c>
      <c r="I907" s="7" t="str">
        <f>IF(I906&lt;'Characteristics&amp;Parameters'!$B$17,ConcentrationsCalculations!I906+1,IF(I906="DS Node","",IF(I906="","","DS Node")))</f>
        <v/>
      </c>
      <c r="J907" s="13" t="str">
        <f>IF(I907="DS Node",'Characteristics&amp;Parameters'!$B$8,IF(I907&lt;='Characteristics&amp;Parameters'!$B$17,((1-'Characteristics&amp;Parameters'!$B$19)*ConcentrationsCalculations!F907+'Characteristics&amp;Parameters'!$B$19*ConcentrationsCalculations!F906-F907/86400*'Characteristics&amp;Parameters'!$B$11*'Characteristics&amp;Parameters'!$B$12),""))</f>
        <v/>
      </c>
    </row>
    <row r="908" spans="1:10" x14ac:dyDescent="0.5">
      <c r="A908" s="7" t="str">
        <f>IF(A907&lt;'Characteristics&amp;Parameters'!$B$17,ConcentrationsCalculations!A907+1,IF(A907="DS Node","",IF(A907="","","DS Node")))</f>
        <v/>
      </c>
      <c r="B908" s="8" t="str">
        <f>IF(A908&lt;='Characteristics&amp;Parameters'!$B$17,'Characteristics&amp;Parameters'!$B$7,IF(ConcentrationsCalculations!A908="DS Node",'Characteristics&amp;Parameters'!$B$8,""))</f>
        <v/>
      </c>
      <c r="C908" s="8"/>
      <c r="E908" s="7" t="s">
        <v>25</v>
      </c>
      <c r="F908" s="8" t="s">
        <v>25</v>
      </c>
      <c r="I908" s="7" t="str">
        <f>IF(I907&lt;'Characteristics&amp;Parameters'!$B$17,ConcentrationsCalculations!I907+1,IF(I907="DS Node","",IF(I907="","","DS Node")))</f>
        <v/>
      </c>
      <c r="J908" s="13" t="str">
        <f>IF(I908="DS Node",'Characteristics&amp;Parameters'!$B$8,IF(I908&lt;='Characteristics&amp;Parameters'!$B$17,((1-'Characteristics&amp;Parameters'!$B$19)*ConcentrationsCalculations!F908+'Characteristics&amp;Parameters'!$B$19*ConcentrationsCalculations!F907-F908/86400*'Characteristics&amp;Parameters'!$B$11*'Characteristics&amp;Parameters'!$B$12),""))</f>
        <v/>
      </c>
    </row>
    <row r="909" spans="1:10" x14ac:dyDescent="0.5">
      <c r="A909" s="7" t="str">
        <f>IF(A908&lt;'Characteristics&amp;Parameters'!$B$17,ConcentrationsCalculations!A908+1,IF(A908="DS Node","",IF(A908="","","DS Node")))</f>
        <v/>
      </c>
      <c r="B909" s="8" t="str">
        <f>IF(A909&lt;='Characteristics&amp;Parameters'!$B$17,'Characteristics&amp;Parameters'!$B$7,IF(ConcentrationsCalculations!A909="DS Node",'Characteristics&amp;Parameters'!$B$8,""))</f>
        <v/>
      </c>
      <c r="C909" s="8"/>
      <c r="E909" s="7" t="s">
        <v>25</v>
      </c>
      <c r="F909" s="8" t="s">
        <v>25</v>
      </c>
      <c r="I909" s="7" t="str">
        <f>IF(I908&lt;'Characteristics&amp;Parameters'!$B$17,ConcentrationsCalculations!I908+1,IF(I908="DS Node","",IF(I908="","","DS Node")))</f>
        <v/>
      </c>
      <c r="J909" s="13" t="str">
        <f>IF(I909="DS Node",'Characteristics&amp;Parameters'!$B$8,IF(I909&lt;='Characteristics&amp;Parameters'!$B$17,((1-'Characteristics&amp;Parameters'!$B$19)*ConcentrationsCalculations!F909+'Characteristics&amp;Parameters'!$B$19*ConcentrationsCalculations!F908-F909/86400*'Characteristics&amp;Parameters'!$B$11*'Characteristics&amp;Parameters'!$B$12),""))</f>
        <v/>
      </c>
    </row>
    <row r="910" spans="1:10" x14ac:dyDescent="0.5">
      <c r="A910" s="7" t="str">
        <f>IF(A909&lt;'Characteristics&amp;Parameters'!$B$17,ConcentrationsCalculations!A909+1,IF(A909="DS Node","",IF(A909="","","DS Node")))</f>
        <v/>
      </c>
      <c r="B910" s="8" t="str">
        <f>IF(A910&lt;='Characteristics&amp;Parameters'!$B$17,'Characteristics&amp;Parameters'!$B$7,IF(ConcentrationsCalculations!A910="DS Node",'Characteristics&amp;Parameters'!$B$8,""))</f>
        <v/>
      </c>
      <c r="C910" s="8"/>
      <c r="E910" s="7" t="s">
        <v>25</v>
      </c>
      <c r="F910" s="8" t="s">
        <v>25</v>
      </c>
      <c r="I910" s="7" t="str">
        <f>IF(I909&lt;'Characteristics&amp;Parameters'!$B$17,ConcentrationsCalculations!I909+1,IF(I909="DS Node","",IF(I909="","","DS Node")))</f>
        <v/>
      </c>
      <c r="J910" s="13" t="str">
        <f>IF(I910="DS Node",'Characteristics&amp;Parameters'!$B$8,IF(I910&lt;='Characteristics&amp;Parameters'!$B$17,((1-'Characteristics&amp;Parameters'!$B$19)*ConcentrationsCalculations!F910+'Characteristics&amp;Parameters'!$B$19*ConcentrationsCalculations!F909-F910/86400*'Characteristics&amp;Parameters'!$B$11*'Characteristics&amp;Parameters'!$B$12),""))</f>
        <v/>
      </c>
    </row>
    <row r="911" spans="1:10" x14ac:dyDescent="0.5">
      <c r="A911" s="7" t="str">
        <f>IF(A910&lt;'Characteristics&amp;Parameters'!$B$17,ConcentrationsCalculations!A910+1,IF(A910="DS Node","",IF(A910="","","DS Node")))</f>
        <v/>
      </c>
      <c r="B911" s="8" t="str">
        <f>IF(A911&lt;='Characteristics&amp;Parameters'!$B$17,'Characteristics&amp;Parameters'!$B$7,IF(ConcentrationsCalculations!A911="DS Node",'Characteristics&amp;Parameters'!$B$8,""))</f>
        <v/>
      </c>
      <c r="C911" s="8"/>
      <c r="E911" s="7" t="s">
        <v>25</v>
      </c>
      <c r="F911" s="8" t="s">
        <v>25</v>
      </c>
      <c r="I911" s="7" t="str">
        <f>IF(I910&lt;'Characteristics&amp;Parameters'!$B$17,ConcentrationsCalculations!I910+1,IF(I910="DS Node","",IF(I910="","","DS Node")))</f>
        <v/>
      </c>
      <c r="J911" s="13" t="str">
        <f>IF(I911="DS Node",'Characteristics&amp;Parameters'!$B$8,IF(I911&lt;='Characteristics&amp;Parameters'!$B$17,((1-'Characteristics&amp;Parameters'!$B$19)*ConcentrationsCalculations!F911+'Characteristics&amp;Parameters'!$B$19*ConcentrationsCalculations!F910-F911/86400*'Characteristics&amp;Parameters'!$B$11*'Characteristics&amp;Parameters'!$B$12),""))</f>
        <v/>
      </c>
    </row>
    <row r="912" spans="1:10" x14ac:dyDescent="0.5">
      <c r="A912" s="7" t="str">
        <f>IF(A911&lt;'Characteristics&amp;Parameters'!$B$17,ConcentrationsCalculations!A911+1,IF(A911="DS Node","",IF(A911="","","DS Node")))</f>
        <v/>
      </c>
      <c r="B912" s="8" t="str">
        <f>IF(A912&lt;='Characteristics&amp;Parameters'!$B$17,'Characteristics&amp;Parameters'!$B$7,IF(ConcentrationsCalculations!A912="DS Node",'Characteristics&amp;Parameters'!$B$8,""))</f>
        <v/>
      </c>
      <c r="C912" s="8"/>
      <c r="E912" s="7" t="s">
        <v>25</v>
      </c>
      <c r="F912" s="8" t="s">
        <v>25</v>
      </c>
      <c r="I912" s="7" t="str">
        <f>IF(I911&lt;'Characteristics&amp;Parameters'!$B$17,ConcentrationsCalculations!I911+1,IF(I911="DS Node","",IF(I911="","","DS Node")))</f>
        <v/>
      </c>
      <c r="J912" s="13" t="str">
        <f>IF(I912="DS Node",'Characteristics&amp;Parameters'!$B$8,IF(I912&lt;='Characteristics&amp;Parameters'!$B$17,((1-'Characteristics&amp;Parameters'!$B$19)*ConcentrationsCalculations!F912+'Characteristics&amp;Parameters'!$B$19*ConcentrationsCalculations!F911-F912/86400*'Characteristics&amp;Parameters'!$B$11*'Characteristics&amp;Parameters'!$B$12),""))</f>
        <v/>
      </c>
    </row>
    <row r="913" spans="1:10" x14ac:dyDescent="0.5">
      <c r="A913" s="7" t="str">
        <f>IF(A912&lt;'Characteristics&amp;Parameters'!$B$17,ConcentrationsCalculations!A912+1,IF(A912="DS Node","",IF(A912="","","DS Node")))</f>
        <v/>
      </c>
      <c r="B913" s="8" t="str">
        <f>IF(A913&lt;='Characteristics&amp;Parameters'!$B$17,'Characteristics&amp;Parameters'!$B$7,IF(ConcentrationsCalculations!A913="DS Node",'Characteristics&amp;Parameters'!$B$8,""))</f>
        <v/>
      </c>
      <c r="C913" s="8"/>
      <c r="E913" s="7" t="s">
        <v>25</v>
      </c>
      <c r="F913" s="8" t="s">
        <v>25</v>
      </c>
      <c r="I913" s="7" t="str">
        <f>IF(I912&lt;'Characteristics&amp;Parameters'!$B$17,ConcentrationsCalculations!I912+1,IF(I912="DS Node","",IF(I912="","","DS Node")))</f>
        <v/>
      </c>
      <c r="J913" s="13" t="str">
        <f>IF(I913="DS Node",'Characteristics&amp;Parameters'!$B$8,IF(I913&lt;='Characteristics&amp;Parameters'!$B$17,((1-'Characteristics&amp;Parameters'!$B$19)*ConcentrationsCalculations!F913+'Characteristics&amp;Parameters'!$B$19*ConcentrationsCalculations!F912-F913/86400*'Characteristics&amp;Parameters'!$B$11*'Characteristics&amp;Parameters'!$B$12),""))</f>
        <v/>
      </c>
    </row>
    <row r="914" spans="1:10" x14ac:dyDescent="0.5">
      <c r="A914" s="7" t="str">
        <f>IF(A913&lt;'Characteristics&amp;Parameters'!$B$17,ConcentrationsCalculations!A913+1,IF(A913="DS Node","",IF(A913="","","DS Node")))</f>
        <v/>
      </c>
      <c r="B914" s="8" t="str">
        <f>IF(A914&lt;='Characteristics&amp;Parameters'!$B$17,'Characteristics&amp;Parameters'!$B$7,IF(ConcentrationsCalculations!A914="DS Node",'Characteristics&amp;Parameters'!$B$8,""))</f>
        <v/>
      </c>
      <c r="C914" s="8"/>
      <c r="E914" s="7" t="s">
        <v>25</v>
      </c>
      <c r="F914" s="8" t="s">
        <v>25</v>
      </c>
      <c r="I914" s="7" t="str">
        <f>IF(I913&lt;'Characteristics&amp;Parameters'!$B$17,ConcentrationsCalculations!I913+1,IF(I913="DS Node","",IF(I913="","","DS Node")))</f>
        <v/>
      </c>
      <c r="J914" s="13" t="str">
        <f>IF(I914="DS Node",'Characteristics&amp;Parameters'!$B$8,IF(I914&lt;='Characteristics&amp;Parameters'!$B$17,((1-'Characteristics&amp;Parameters'!$B$19)*ConcentrationsCalculations!F914+'Characteristics&amp;Parameters'!$B$19*ConcentrationsCalculations!F913-F914/86400*'Characteristics&amp;Parameters'!$B$11*'Characteristics&amp;Parameters'!$B$12),""))</f>
        <v/>
      </c>
    </row>
    <row r="915" spans="1:10" x14ac:dyDescent="0.5">
      <c r="A915" s="7" t="str">
        <f>IF(A914&lt;'Characteristics&amp;Parameters'!$B$17,ConcentrationsCalculations!A914+1,IF(A914="DS Node","",IF(A914="","","DS Node")))</f>
        <v/>
      </c>
      <c r="B915" s="8" t="str">
        <f>IF(A915&lt;='Characteristics&amp;Parameters'!$B$17,'Characteristics&amp;Parameters'!$B$7,IF(ConcentrationsCalculations!A915="DS Node",'Characteristics&amp;Parameters'!$B$8,""))</f>
        <v/>
      </c>
      <c r="C915" s="8"/>
      <c r="E915" s="7" t="s">
        <v>25</v>
      </c>
      <c r="F915" s="8" t="s">
        <v>25</v>
      </c>
      <c r="I915" s="7" t="str">
        <f>IF(I914&lt;'Characteristics&amp;Parameters'!$B$17,ConcentrationsCalculations!I914+1,IF(I914="DS Node","",IF(I914="","","DS Node")))</f>
        <v/>
      </c>
      <c r="J915" s="13" t="str">
        <f>IF(I915="DS Node",'Characteristics&amp;Parameters'!$B$8,IF(I915&lt;='Characteristics&amp;Parameters'!$B$17,((1-'Characteristics&amp;Parameters'!$B$19)*ConcentrationsCalculations!F915+'Characteristics&amp;Parameters'!$B$19*ConcentrationsCalculations!F914-F915/86400*'Characteristics&amp;Parameters'!$B$11*'Characteristics&amp;Parameters'!$B$12),""))</f>
        <v/>
      </c>
    </row>
    <row r="916" spans="1:10" x14ac:dyDescent="0.5">
      <c r="A916" s="7" t="str">
        <f>IF(A915&lt;'Characteristics&amp;Parameters'!$B$17,ConcentrationsCalculations!A915+1,IF(A915="DS Node","",IF(A915="","","DS Node")))</f>
        <v/>
      </c>
      <c r="B916" s="8" t="str">
        <f>IF(A916&lt;='Characteristics&amp;Parameters'!$B$17,'Characteristics&amp;Parameters'!$B$7,IF(ConcentrationsCalculations!A916="DS Node",'Characteristics&amp;Parameters'!$B$8,""))</f>
        <v/>
      </c>
      <c r="C916" s="8"/>
      <c r="E916" s="7" t="s">
        <v>25</v>
      </c>
      <c r="F916" s="8" t="s">
        <v>25</v>
      </c>
      <c r="I916" s="7" t="str">
        <f>IF(I915&lt;'Characteristics&amp;Parameters'!$B$17,ConcentrationsCalculations!I915+1,IF(I915="DS Node","",IF(I915="","","DS Node")))</f>
        <v/>
      </c>
      <c r="J916" s="13" t="str">
        <f>IF(I916="DS Node",'Characteristics&amp;Parameters'!$B$8,IF(I916&lt;='Characteristics&amp;Parameters'!$B$17,((1-'Characteristics&amp;Parameters'!$B$19)*ConcentrationsCalculations!F916+'Characteristics&amp;Parameters'!$B$19*ConcentrationsCalculations!F915-F916/86400*'Characteristics&amp;Parameters'!$B$11*'Characteristics&amp;Parameters'!$B$12),""))</f>
        <v/>
      </c>
    </row>
    <row r="917" spans="1:10" x14ac:dyDescent="0.5">
      <c r="A917" s="7" t="str">
        <f>IF(A916&lt;'Characteristics&amp;Parameters'!$B$17,ConcentrationsCalculations!A916+1,IF(A916="DS Node","",IF(A916="","","DS Node")))</f>
        <v/>
      </c>
      <c r="B917" s="8" t="str">
        <f>IF(A917&lt;='Characteristics&amp;Parameters'!$B$17,'Characteristics&amp;Parameters'!$B$7,IF(ConcentrationsCalculations!A917="DS Node",'Characteristics&amp;Parameters'!$B$8,""))</f>
        <v/>
      </c>
      <c r="C917" s="8"/>
      <c r="E917" s="7" t="s">
        <v>25</v>
      </c>
      <c r="F917" s="8" t="s">
        <v>25</v>
      </c>
      <c r="I917" s="7" t="str">
        <f>IF(I916&lt;'Characteristics&amp;Parameters'!$B$17,ConcentrationsCalculations!I916+1,IF(I916="DS Node","",IF(I916="","","DS Node")))</f>
        <v/>
      </c>
      <c r="J917" s="13" t="str">
        <f>IF(I917="DS Node",'Characteristics&amp;Parameters'!$B$8,IF(I917&lt;='Characteristics&amp;Parameters'!$B$17,((1-'Characteristics&amp;Parameters'!$B$19)*ConcentrationsCalculations!F917+'Characteristics&amp;Parameters'!$B$19*ConcentrationsCalculations!F916-F917/86400*'Characteristics&amp;Parameters'!$B$11*'Characteristics&amp;Parameters'!$B$12),""))</f>
        <v/>
      </c>
    </row>
    <row r="918" spans="1:10" x14ac:dyDescent="0.5">
      <c r="A918" s="7" t="str">
        <f>IF(A917&lt;'Characteristics&amp;Parameters'!$B$17,ConcentrationsCalculations!A917+1,IF(A917="DS Node","",IF(A917="","","DS Node")))</f>
        <v/>
      </c>
      <c r="B918" s="8" t="str">
        <f>IF(A918&lt;='Characteristics&amp;Parameters'!$B$17,'Characteristics&amp;Parameters'!$B$7,IF(ConcentrationsCalculations!A918="DS Node",'Characteristics&amp;Parameters'!$B$8,""))</f>
        <v/>
      </c>
      <c r="C918" s="8"/>
      <c r="E918" s="7" t="s">
        <v>25</v>
      </c>
      <c r="F918" s="8" t="s">
        <v>25</v>
      </c>
      <c r="I918" s="7" t="str">
        <f>IF(I917&lt;'Characteristics&amp;Parameters'!$B$17,ConcentrationsCalculations!I917+1,IF(I917="DS Node","",IF(I917="","","DS Node")))</f>
        <v/>
      </c>
      <c r="J918" s="13" t="str">
        <f>IF(I918="DS Node",'Characteristics&amp;Parameters'!$B$8,IF(I918&lt;='Characteristics&amp;Parameters'!$B$17,((1-'Characteristics&amp;Parameters'!$B$19)*ConcentrationsCalculations!F918+'Characteristics&amp;Parameters'!$B$19*ConcentrationsCalculations!F917-F918/86400*'Characteristics&amp;Parameters'!$B$11*'Characteristics&amp;Parameters'!$B$12),""))</f>
        <v/>
      </c>
    </row>
    <row r="919" spans="1:10" x14ac:dyDescent="0.5">
      <c r="A919" s="7" t="str">
        <f>IF(A918&lt;'Characteristics&amp;Parameters'!$B$17,ConcentrationsCalculations!A918+1,IF(A918="DS Node","",IF(A918="","","DS Node")))</f>
        <v/>
      </c>
      <c r="B919" s="8" t="str">
        <f>IF(A919&lt;='Characteristics&amp;Parameters'!$B$17,'Characteristics&amp;Parameters'!$B$7,IF(ConcentrationsCalculations!A919="DS Node",'Characteristics&amp;Parameters'!$B$8,""))</f>
        <v/>
      </c>
      <c r="C919" s="8"/>
      <c r="E919" s="7" t="s">
        <v>25</v>
      </c>
      <c r="F919" s="8" t="s">
        <v>25</v>
      </c>
      <c r="I919" s="7" t="str">
        <f>IF(I918&lt;'Characteristics&amp;Parameters'!$B$17,ConcentrationsCalculations!I918+1,IF(I918="DS Node","",IF(I918="","","DS Node")))</f>
        <v/>
      </c>
      <c r="J919" s="13" t="str">
        <f>IF(I919="DS Node",'Characteristics&amp;Parameters'!$B$8,IF(I919&lt;='Characteristics&amp;Parameters'!$B$17,((1-'Characteristics&amp;Parameters'!$B$19)*ConcentrationsCalculations!F919+'Characteristics&amp;Parameters'!$B$19*ConcentrationsCalculations!F918-F919/86400*'Characteristics&amp;Parameters'!$B$11*'Characteristics&amp;Parameters'!$B$12),""))</f>
        <v/>
      </c>
    </row>
    <row r="920" spans="1:10" x14ac:dyDescent="0.5">
      <c r="A920" s="7" t="str">
        <f>IF(A919&lt;'Characteristics&amp;Parameters'!$B$17,ConcentrationsCalculations!A919+1,IF(A919="DS Node","",IF(A919="","","DS Node")))</f>
        <v/>
      </c>
      <c r="B920" s="8" t="str">
        <f>IF(A920&lt;='Characteristics&amp;Parameters'!$B$17,'Characteristics&amp;Parameters'!$B$7,IF(ConcentrationsCalculations!A920="DS Node",'Characteristics&amp;Parameters'!$B$8,""))</f>
        <v/>
      </c>
      <c r="C920" s="8"/>
      <c r="E920" s="7" t="s">
        <v>25</v>
      </c>
      <c r="F920" s="8" t="s">
        <v>25</v>
      </c>
      <c r="I920" s="7" t="str">
        <f>IF(I919&lt;'Characteristics&amp;Parameters'!$B$17,ConcentrationsCalculations!I919+1,IF(I919="DS Node","",IF(I919="","","DS Node")))</f>
        <v/>
      </c>
      <c r="J920" s="13" t="str">
        <f>IF(I920="DS Node",'Characteristics&amp;Parameters'!$B$8,IF(I920&lt;='Characteristics&amp;Parameters'!$B$17,((1-'Characteristics&amp;Parameters'!$B$19)*ConcentrationsCalculations!F920+'Characteristics&amp;Parameters'!$B$19*ConcentrationsCalculations!F919-F920/86400*'Characteristics&amp;Parameters'!$B$11*'Characteristics&amp;Parameters'!$B$12),""))</f>
        <v/>
      </c>
    </row>
    <row r="921" spans="1:10" x14ac:dyDescent="0.5">
      <c r="A921" s="7" t="str">
        <f>IF(A920&lt;'Characteristics&amp;Parameters'!$B$17,ConcentrationsCalculations!A920+1,IF(A920="DS Node","",IF(A920="","","DS Node")))</f>
        <v/>
      </c>
      <c r="B921" s="8" t="str">
        <f>IF(A921&lt;='Characteristics&amp;Parameters'!$B$17,'Characteristics&amp;Parameters'!$B$7,IF(ConcentrationsCalculations!A921="DS Node",'Characteristics&amp;Parameters'!$B$8,""))</f>
        <v/>
      </c>
      <c r="C921" s="8"/>
      <c r="E921" s="7" t="s">
        <v>25</v>
      </c>
      <c r="F921" s="8" t="s">
        <v>25</v>
      </c>
      <c r="I921" s="7" t="str">
        <f>IF(I920&lt;'Characteristics&amp;Parameters'!$B$17,ConcentrationsCalculations!I920+1,IF(I920="DS Node","",IF(I920="","","DS Node")))</f>
        <v/>
      </c>
      <c r="J921" s="13" t="str">
        <f>IF(I921="DS Node",'Characteristics&amp;Parameters'!$B$8,IF(I921&lt;='Characteristics&amp;Parameters'!$B$17,((1-'Characteristics&amp;Parameters'!$B$19)*ConcentrationsCalculations!F921+'Characteristics&amp;Parameters'!$B$19*ConcentrationsCalculations!F920-F921/86400*'Characteristics&amp;Parameters'!$B$11*'Characteristics&amp;Parameters'!$B$12),""))</f>
        <v/>
      </c>
    </row>
    <row r="922" spans="1:10" x14ac:dyDescent="0.5">
      <c r="A922" s="7" t="str">
        <f>IF(A921&lt;'Characteristics&amp;Parameters'!$B$17,ConcentrationsCalculations!A921+1,IF(A921="DS Node","",IF(A921="","","DS Node")))</f>
        <v/>
      </c>
      <c r="B922" s="8" t="str">
        <f>IF(A922&lt;='Characteristics&amp;Parameters'!$B$17,'Characteristics&amp;Parameters'!$B$7,IF(ConcentrationsCalculations!A922="DS Node",'Characteristics&amp;Parameters'!$B$8,""))</f>
        <v/>
      </c>
      <c r="C922" s="8"/>
      <c r="E922" s="7" t="s">
        <v>25</v>
      </c>
      <c r="F922" s="8" t="s">
        <v>25</v>
      </c>
      <c r="I922" s="7" t="str">
        <f>IF(I921&lt;'Characteristics&amp;Parameters'!$B$17,ConcentrationsCalculations!I921+1,IF(I921="DS Node","",IF(I921="","","DS Node")))</f>
        <v/>
      </c>
      <c r="J922" s="13" t="str">
        <f>IF(I922="DS Node",'Characteristics&amp;Parameters'!$B$8,IF(I922&lt;='Characteristics&amp;Parameters'!$B$17,((1-'Characteristics&amp;Parameters'!$B$19)*ConcentrationsCalculations!F922+'Characteristics&amp;Parameters'!$B$19*ConcentrationsCalculations!F921-F922/86400*'Characteristics&amp;Parameters'!$B$11*'Characteristics&amp;Parameters'!$B$12),""))</f>
        <v/>
      </c>
    </row>
    <row r="923" spans="1:10" x14ac:dyDescent="0.5">
      <c r="A923" s="7" t="str">
        <f>IF(A922&lt;'Characteristics&amp;Parameters'!$B$17,ConcentrationsCalculations!A922+1,IF(A922="DS Node","",IF(A922="","","DS Node")))</f>
        <v/>
      </c>
      <c r="B923" s="8" t="str">
        <f>IF(A923&lt;='Characteristics&amp;Parameters'!$B$17,'Characteristics&amp;Parameters'!$B$7,IF(ConcentrationsCalculations!A923="DS Node",'Characteristics&amp;Parameters'!$B$8,""))</f>
        <v/>
      </c>
      <c r="C923" s="8"/>
      <c r="E923" s="7" t="s">
        <v>25</v>
      </c>
      <c r="F923" s="8" t="s">
        <v>25</v>
      </c>
      <c r="I923" s="7" t="str">
        <f>IF(I922&lt;'Characteristics&amp;Parameters'!$B$17,ConcentrationsCalculations!I922+1,IF(I922="DS Node","",IF(I922="","","DS Node")))</f>
        <v/>
      </c>
      <c r="J923" s="13" t="str">
        <f>IF(I923="DS Node",'Characteristics&amp;Parameters'!$B$8,IF(I923&lt;='Characteristics&amp;Parameters'!$B$17,((1-'Characteristics&amp;Parameters'!$B$19)*ConcentrationsCalculations!F923+'Characteristics&amp;Parameters'!$B$19*ConcentrationsCalculations!F922-F923/86400*'Characteristics&amp;Parameters'!$B$11*'Characteristics&amp;Parameters'!$B$12),""))</f>
        <v/>
      </c>
    </row>
    <row r="924" spans="1:10" x14ac:dyDescent="0.5">
      <c r="A924" s="7" t="str">
        <f>IF(A923&lt;'Characteristics&amp;Parameters'!$B$17,ConcentrationsCalculations!A923+1,IF(A923="DS Node","",IF(A923="","","DS Node")))</f>
        <v/>
      </c>
      <c r="B924" s="8" t="str">
        <f>IF(A924&lt;='Characteristics&amp;Parameters'!$B$17,'Characteristics&amp;Parameters'!$B$7,IF(ConcentrationsCalculations!A924="DS Node",'Characteristics&amp;Parameters'!$B$8,""))</f>
        <v/>
      </c>
      <c r="C924" s="8"/>
      <c r="E924" s="7" t="s">
        <v>25</v>
      </c>
      <c r="F924" s="8" t="s">
        <v>25</v>
      </c>
      <c r="I924" s="7" t="str">
        <f>IF(I923&lt;'Characteristics&amp;Parameters'!$B$17,ConcentrationsCalculations!I923+1,IF(I923="DS Node","",IF(I923="","","DS Node")))</f>
        <v/>
      </c>
      <c r="J924" s="13" t="str">
        <f>IF(I924="DS Node",'Characteristics&amp;Parameters'!$B$8,IF(I924&lt;='Characteristics&amp;Parameters'!$B$17,((1-'Characteristics&amp;Parameters'!$B$19)*ConcentrationsCalculations!F924+'Characteristics&amp;Parameters'!$B$19*ConcentrationsCalculations!F923-F924/86400*'Characteristics&amp;Parameters'!$B$11*'Characteristics&amp;Parameters'!$B$12),""))</f>
        <v/>
      </c>
    </row>
    <row r="925" spans="1:10" x14ac:dyDescent="0.5">
      <c r="A925" s="7" t="str">
        <f>IF(A924&lt;'Characteristics&amp;Parameters'!$B$17,ConcentrationsCalculations!A924+1,IF(A924="DS Node","",IF(A924="","","DS Node")))</f>
        <v/>
      </c>
      <c r="B925" s="8" t="str">
        <f>IF(A925&lt;='Characteristics&amp;Parameters'!$B$17,'Characteristics&amp;Parameters'!$B$7,IF(ConcentrationsCalculations!A925="DS Node",'Characteristics&amp;Parameters'!$B$8,""))</f>
        <v/>
      </c>
      <c r="C925" s="8"/>
      <c r="E925" s="7" t="s">
        <v>25</v>
      </c>
      <c r="F925" s="8" t="s">
        <v>25</v>
      </c>
      <c r="I925" s="7" t="str">
        <f>IF(I924&lt;'Characteristics&amp;Parameters'!$B$17,ConcentrationsCalculations!I924+1,IF(I924="DS Node","",IF(I924="","","DS Node")))</f>
        <v/>
      </c>
      <c r="J925" s="13" t="str">
        <f>IF(I925="DS Node",'Characteristics&amp;Parameters'!$B$8,IF(I925&lt;='Characteristics&amp;Parameters'!$B$17,((1-'Characteristics&amp;Parameters'!$B$19)*ConcentrationsCalculations!F925+'Characteristics&amp;Parameters'!$B$19*ConcentrationsCalculations!F924-F925/86400*'Characteristics&amp;Parameters'!$B$11*'Characteristics&amp;Parameters'!$B$12),""))</f>
        <v/>
      </c>
    </row>
    <row r="926" spans="1:10" x14ac:dyDescent="0.5">
      <c r="A926" s="7" t="str">
        <f>IF(A925&lt;'Characteristics&amp;Parameters'!$B$17,ConcentrationsCalculations!A925+1,IF(A925="DS Node","",IF(A925="","","DS Node")))</f>
        <v/>
      </c>
      <c r="B926" s="8" t="str">
        <f>IF(A926&lt;='Characteristics&amp;Parameters'!$B$17,'Characteristics&amp;Parameters'!$B$7,IF(ConcentrationsCalculations!A926="DS Node",'Characteristics&amp;Parameters'!$B$8,""))</f>
        <v/>
      </c>
      <c r="C926" s="8"/>
      <c r="E926" s="7" t="s">
        <v>25</v>
      </c>
      <c r="F926" s="8" t="s">
        <v>25</v>
      </c>
      <c r="I926" s="7" t="str">
        <f>IF(I925&lt;'Characteristics&amp;Parameters'!$B$17,ConcentrationsCalculations!I925+1,IF(I925="DS Node","",IF(I925="","","DS Node")))</f>
        <v/>
      </c>
      <c r="J926" s="13" t="str">
        <f>IF(I926="DS Node",'Characteristics&amp;Parameters'!$B$8,IF(I926&lt;='Characteristics&amp;Parameters'!$B$17,((1-'Characteristics&amp;Parameters'!$B$19)*ConcentrationsCalculations!F926+'Characteristics&amp;Parameters'!$B$19*ConcentrationsCalculations!F925-F926/86400*'Characteristics&amp;Parameters'!$B$11*'Characteristics&amp;Parameters'!$B$12),""))</f>
        <v/>
      </c>
    </row>
    <row r="927" spans="1:10" x14ac:dyDescent="0.5">
      <c r="A927" s="7" t="str">
        <f>IF(A926&lt;'Characteristics&amp;Parameters'!$B$17,ConcentrationsCalculations!A926+1,IF(A926="DS Node","",IF(A926="","","DS Node")))</f>
        <v/>
      </c>
      <c r="B927" s="8" t="str">
        <f>IF(A927&lt;='Characteristics&amp;Parameters'!$B$17,'Characteristics&amp;Parameters'!$B$7,IF(ConcentrationsCalculations!A927="DS Node",'Characteristics&amp;Parameters'!$B$8,""))</f>
        <v/>
      </c>
      <c r="C927" s="8"/>
      <c r="E927" s="7" t="s">
        <v>25</v>
      </c>
      <c r="F927" s="8" t="s">
        <v>25</v>
      </c>
      <c r="I927" s="7" t="str">
        <f>IF(I926&lt;'Characteristics&amp;Parameters'!$B$17,ConcentrationsCalculations!I926+1,IF(I926="DS Node","",IF(I926="","","DS Node")))</f>
        <v/>
      </c>
      <c r="J927" s="13" t="str">
        <f>IF(I927="DS Node",'Characteristics&amp;Parameters'!$B$8,IF(I927&lt;='Characteristics&amp;Parameters'!$B$17,((1-'Characteristics&amp;Parameters'!$B$19)*ConcentrationsCalculations!F927+'Characteristics&amp;Parameters'!$B$19*ConcentrationsCalculations!F926-F927/86400*'Characteristics&amp;Parameters'!$B$11*'Characteristics&amp;Parameters'!$B$12),""))</f>
        <v/>
      </c>
    </row>
    <row r="928" spans="1:10" x14ac:dyDescent="0.5">
      <c r="A928" s="7" t="str">
        <f>IF(A927&lt;'Characteristics&amp;Parameters'!$B$17,ConcentrationsCalculations!A927+1,IF(A927="DS Node","",IF(A927="","","DS Node")))</f>
        <v/>
      </c>
      <c r="B928" s="8" t="str">
        <f>IF(A928&lt;='Characteristics&amp;Parameters'!$B$17,'Characteristics&amp;Parameters'!$B$7,IF(ConcentrationsCalculations!A928="DS Node",'Characteristics&amp;Parameters'!$B$8,""))</f>
        <v/>
      </c>
      <c r="C928" s="8"/>
      <c r="E928" s="7" t="s">
        <v>25</v>
      </c>
      <c r="F928" s="8" t="s">
        <v>25</v>
      </c>
      <c r="I928" s="7" t="str">
        <f>IF(I927&lt;'Characteristics&amp;Parameters'!$B$17,ConcentrationsCalculations!I927+1,IF(I927="DS Node","",IF(I927="","","DS Node")))</f>
        <v/>
      </c>
      <c r="J928" s="13" t="str">
        <f>IF(I928="DS Node",'Characteristics&amp;Parameters'!$B$8,IF(I928&lt;='Characteristics&amp;Parameters'!$B$17,((1-'Characteristics&amp;Parameters'!$B$19)*ConcentrationsCalculations!F928+'Characteristics&amp;Parameters'!$B$19*ConcentrationsCalculations!F927-F928/86400*'Characteristics&amp;Parameters'!$B$11*'Characteristics&amp;Parameters'!$B$12),""))</f>
        <v/>
      </c>
    </row>
    <row r="929" spans="1:10" x14ac:dyDescent="0.5">
      <c r="A929" s="7" t="str">
        <f>IF(A928&lt;'Characteristics&amp;Parameters'!$B$17,ConcentrationsCalculations!A928+1,IF(A928="DS Node","",IF(A928="","","DS Node")))</f>
        <v/>
      </c>
      <c r="B929" s="8" t="str">
        <f>IF(A929&lt;='Characteristics&amp;Parameters'!$B$17,'Characteristics&amp;Parameters'!$B$7,IF(ConcentrationsCalculations!A929="DS Node",'Characteristics&amp;Parameters'!$B$8,""))</f>
        <v/>
      </c>
      <c r="C929" s="8"/>
      <c r="E929" s="7" t="s">
        <v>25</v>
      </c>
      <c r="F929" s="8" t="s">
        <v>25</v>
      </c>
      <c r="I929" s="7" t="str">
        <f>IF(I928&lt;'Characteristics&amp;Parameters'!$B$17,ConcentrationsCalculations!I928+1,IF(I928="DS Node","",IF(I928="","","DS Node")))</f>
        <v/>
      </c>
      <c r="J929" s="13" t="str">
        <f>IF(I929="DS Node",'Characteristics&amp;Parameters'!$B$8,IF(I929&lt;='Characteristics&amp;Parameters'!$B$17,((1-'Characteristics&amp;Parameters'!$B$19)*ConcentrationsCalculations!F929+'Characteristics&amp;Parameters'!$B$19*ConcentrationsCalculations!F928-F929/86400*'Characteristics&amp;Parameters'!$B$11*'Characteristics&amp;Parameters'!$B$12),""))</f>
        <v/>
      </c>
    </row>
    <row r="930" spans="1:10" x14ac:dyDescent="0.5">
      <c r="A930" s="7" t="str">
        <f>IF(A929&lt;'Characteristics&amp;Parameters'!$B$17,ConcentrationsCalculations!A929+1,IF(A929="DS Node","",IF(A929="","","DS Node")))</f>
        <v/>
      </c>
      <c r="B930" s="8" t="str">
        <f>IF(A930&lt;='Characteristics&amp;Parameters'!$B$17,'Characteristics&amp;Parameters'!$B$7,IF(ConcentrationsCalculations!A930="DS Node",'Characteristics&amp;Parameters'!$B$8,""))</f>
        <v/>
      </c>
      <c r="C930" s="8"/>
      <c r="E930" s="7" t="s">
        <v>25</v>
      </c>
      <c r="F930" s="8" t="s">
        <v>25</v>
      </c>
      <c r="I930" s="7" t="str">
        <f>IF(I929&lt;'Characteristics&amp;Parameters'!$B$17,ConcentrationsCalculations!I929+1,IF(I929="DS Node","",IF(I929="","","DS Node")))</f>
        <v/>
      </c>
      <c r="J930" s="13" t="str">
        <f>IF(I930="DS Node",'Characteristics&amp;Parameters'!$B$8,IF(I930&lt;='Characteristics&amp;Parameters'!$B$17,((1-'Characteristics&amp;Parameters'!$B$19)*ConcentrationsCalculations!F930+'Characteristics&amp;Parameters'!$B$19*ConcentrationsCalculations!F929-F930/86400*'Characteristics&amp;Parameters'!$B$11*'Characteristics&amp;Parameters'!$B$12),""))</f>
        <v/>
      </c>
    </row>
    <row r="931" spans="1:10" x14ac:dyDescent="0.5">
      <c r="A931" s="7" t="str">
        <f>IF(A930&lt;'Characteristics&amp;Parameters'!$B$17,ConcentrationsCalculations!A930+1,IF(A930="DS Node","",IF(A930="","","DS Node")))</f>
        <v/>
      </c>
      <c r="B931" s="8" t="str">
        <f>IF(A931&lt;='Characteristics&amp;Parameters'!$B$17,'Characteristics&amp;Parameters'!$B$7,IF(ConcentrationsCalculations!A931="DS Node",'Characteristics&amp;Parameters'!$B$8,""))</f>
        <v/>
      </c>
      <c r="C931" s="8"/>
      <c r="E931" s="7" t="s">
        <v>25</v>
      </c>
      <c r="F931" s="8" t="s">
        <v>25</v>
      </c>
      <c r="I931" s="7" t="str">
        <f>IF(I930&lt;'Characteristics&amp;Parameters'!$B$17,ConcentrationsCalculations!I930+1,IF(I930="DS Node","",IF(I930="","","DS Node")))</f>
        <v/>
      </c>
      <c r="J931" s="13" t="str">
        <f>IF(I931="DS Node",'Characteristics&amp;Parameters'!$B$8,IF(I931&lt;='Characteristics&amp;Parameters'!$B$17,((1-'Characteristics&amp;Parameters'!$B$19)*ConcentrationsCalculations!F931+'Characteristics&amp;Parameters'!$B$19*ConcentrationsCalculations!F930-F931/86400*'Characteristics&amp;Parameters'!$B$11*'Characteristics&amp;Parameters'!$B$12),""))</f>
        <v/>
      </c>
    </row>
    <row r="932" spans="1:10" x14ac:dyDescent="0.5">
      <c r="A932" s="7" t="str">
        <f>IF(A931&lt;'Characteristics&amp;Parameters'!$B$17,ConcentrationsCalculations!A931+1,IF(A931="DS Node","",IF(A931="","","DS Node")))</f>
        <v/>
      </c>
      <c r="B932" s="8" t="str">
        <f>IF(A932&lt;='Characteristics&amp;Parameters'!$B$17,'Characteristics&amp;Parameters'!$B$7,IF(ConcentrationsCalculations!A932="DS Node",'Characteristics&amp;Parameters'!$B$8,""))</f>
        <v/>
      </c>
      <c r="C932" s="8"/>
      <c r="E932" s="7" t="s">
        <v>25</v>
      </c>
      <c r="F932" s="8" t="s">
        <v>25</v>
      </c>
      <c r="I932" s="7" t="str">
        <f>IF(I931&lt;'Characteristics&amp;Parameters'!$B$17,ConcentrationsCalculations!I931+1,IF(I931="DS Node","",IF(I931="","","DS Node")))</f>
        <v/>
      </c>
      <c r="J932" s="13" t="str">
        <f>IF(I932="DS Node",'Characteristics&amp;Parameters'!$B$8,IF(I932&lt;='Characteristics&amp;Parameters'!$B$17,((1-'Characteristics&amp;Parameters'!$B$19)*ConcentrationsCalculations!F932+'Characteristics&amp;Parameters'!$B$19*ConcentrationsCalculations!F931-F932/86400*'Characteristics&amp;Parameters'!$B$11*'Characteristics&amp;Parameters'!$B$12),""))</f>
        <v/>
      </c>
    </row>
    <row r="933" spans="1:10" x14ac:dyDescent="0.5">
      <c r="A933" s="7" t="str">
        <f>IF(A932&lt;'Characteristics&amp;Parameters'!$B$17,ConcentrationsCalculations!A932+1,IF(A932="DS Node","",IF(A932="","","DS Node")))</f>
        <v/>
      </c>
      <c r="B933" s="8" t="str">
        <f>IF(A933&lt;='Characteristics&amp;Parameters'!$B$17,'Characteristics&amp;Parameters'!$B$7,IF(ConcentrationsCalculations!A933="DS Node",'Characteristics&amp;Parameters'!$B$8,""))</f>
        <v/>
      </c>
      <c r="C933" s="8"/>
      <c r="E933" s="7" t="s">
        <v>25</v>
      </c>
      <c r="F933" s="8" t="s">
        <v>25</v>
      </c>
      <c r="I933" s="7" t="str">
        <f>IF(I932&lt;'Characteristics&amp;Parameters'!$B$17,ConcentrationsCalculations!I932+1,IF(I932="DS Node","",IF(I932="","","DS Node")))</f>
        <v/>
      </c>
      <c r="J933" s="13" t="str">
        <f>IF(I933="DS Node",'Characteristics&amp;Parameters'!$B$8,IF(I933&lt;='Characteristics&amp;Parameters'!$B$17,((1-'Characteristics&amp;Parameters'!$B$19)*ConcentrationsCalculations!F933+'Characteristics&amp;Parameters'!$B$19*ConcentrationsCalculations!F932-F933/86400*'Characteristics&amp;Parameters'!$B$11*'Characteristics&amp;Parameters'!$B$12),""))</f>
        <v/>
      </c>
    </row>
    <row r="934" spans="1:10" x14ac:dyDescent="0.5">
      <c r="A934" s="7" t="str">
        <f>IF(A933&lt;'Characteristics&amp;Parameters'!$B$17,ConcentrationsCalculations!A933+1,IF(A933="DS Node","",IF(A933="","","DS Node")))</f>
        <v/>
      </c>
      <c r="B934" s="8" t="str">
        <f>IF(A934&lt;='Characteristics&amp;Parameters'!$B$17,'Characteristics&amp;Parameters'!$B$7,IF(ConcentrationsCalculations!A934="DS Node",'Characteristics&amp;Parameters'!$B$8,""))</f>
        <v/>
      </c>
      <c r="C934" s="8"/>
      <c r="E934" s="7" t="s">
        <v>25</v>
      </c>
      <c r="F934" s="8" t="s">
        <v>25</v>
      </c>
      <c r="I934" s="7" t="str">
        <f>IF(I933&lt;'Characteristics&amp;Parameters'!$B$17,ConcentrationsCalculations!I933+1,IF(I933="DS Node","",IF(I933="","","DS Node")))</f>
        <v/>
      </c>
      <c r="J934" s="13" t="str">
        <f>IF(I934="DS Node",'Characteristics&amp;Parameters'!$B$8,IF(I934&lt;='Characteristics&amp;Parameters'!$B$17,((1-'Characteristics&amp;Parameters'!$B$19)*ConcentrationsCalculations!F934+'Characteristics&amp;Parameters'!$B$19*ConcentrationsCalculations!F933-F934/86400*'Characteristics&amp;Parameters'!$B$11*'Characteristics&amp;Parameters'!$B$12),""))</f>
        <v/>
      </c>
    </row>
    <row r="935" spans="1:10" x14ac:dyDescent="0.5">
      <c r="A935" s="7" t="str">
        <f>IF(A934&lt;'Characteristics&amp;Parameters'!$B$17,ConcentrationsCalculations!A934+1,IF(A934="DS Node","",IF(A934="","","DS Node")))</f>
        <v/>
      </c>
      <c r="B935" s="8" t="str">
        <f>IF(A935&lt;='Characteristics&amp;Parameters'!$B$17,'Characteristics&amp;Parameters'!$B$7,IF(ConcentrationsCalculations!A935="DS Node",'Characteristics&amp;Parameters'!$B$8,""))</f>
        <v/>
      </c>
      <c r="C935" s="8"/>
      <c r="E935" s="7" t="s">
        <v>25</v>
      </c>
      <c r="F935" s="8" t="s">
        <v>25</v>
      </c>
      <c r="I935" s="7" t="str">
        <f>IF(I934&lt;'Characteristics&amp;Parameters'!$B$17,ConcentrationsCalculations!I934+1,IF(I934="DS Node","",IF(I934="","","DS Node")))</f>
        <v/>
      </c>
      <c r="J935" s="13" t="str">
        <f>IF(I935="DS Node",'Characteristics&amp;Parameters'!$B$8,IF(I935&lt;='Characteristics&amp;Parameters'!$B$17,((1-'Characteristics&amp;Parameters'!$B$19)*ConcentrationsCalculations!F935+'Characteristics&amp;Parameters'!$B$19*ConcentrationsCalculations!F934-F935/86400*'Characteristics&amp;Parameters'!$B$11*'Characteristics&amp;Parameters'!$B$12),""))</f>
        <v/>
      </c>
    </row>
    <row r="936" spans="1:10" x14ac:dyDescent="0.5">
      <c r="A936" s="7" t="str">
        <f>IF(A935&lt;'Characteristics&amp;Parameters'!$B$17,ConcentrationsCalculations!A935+1,IF(A935="DS Node","",IF(A935="","","DS Node")))</f>
        <v/>
      </c>
      <c r="B936" s="8" t="str">
        <f>IF(A936&lt;='Characteristics&amp;Parameters'!$B$17,'Characteristics&amp;Parameters'!$B$7,IF(ConcentrationsCalculations!A936="DS Node",'Characteristics&amp;Parameters'!$B$8,""))</f>
        <v/>
      </c>
      <c r="C936" s="8"/>
      <c r="E936" s="7" t="s">
        <v>25</v>
      </c>
      <c r="F936" s="8" t="s">
        <v>25</v>
      </c>
      <c r="I936" s="7" t="str">
        <f>IF(I935&lt;'Characteristics&amp;Parameters'!$B$17,ConcentrationsCalculations!I935+1,IF(I935="DS Node","",IF(I935="","","DS Node")))</f>
        <v/>
      </c>
      <c r="J936" s="13" t="str">
        <f>IF(I936="DS Node",'Characteristics&amp;Parameters'!$B$8,IF(I936&lt;='Characteristics&amp;Parameters'!$B$17,((1-'Characteristics&amp;Parameters'!$B$19)*ConcentrationsCalculations!F936+'Characteristics&amp;Parameters'!$B$19*ConcentrationsCalculations!F935-F936/86400*'Characteristics&amp;Parameters'!$B$11*'Characteristics&amp;Parameters'!$B$12),""))</f>
        <v/>
      </c>
    </row>
    <row r="937" spans="1:10" x14ac:dyDescent="0.5">
      <c r="A937" s="7" t="str">
        <f>IF(A936&lt;'Characteristics&amp;Parameters'!$B$17,ConcentrationsCalculations!A936+1,IF(A936="DS Node","",IF(A936="","","DS Node")))</f>
        <v/>
      </c>
      <c r="B937" s="8" t="str">
        <f>IF(A937&lt;='Characteristics&amp;Parameters'!$B$17,'Characteristics&amp;Parameters'!$B$7,IF(ConcentrationsCalculations!A937="DS Node",'Characteristics&amp;Parameters'!$B$8,""))</f>
        <v/>
      </c>
      <c r="C937" s="8"/>
      <c r="E937" s="7" t="s">
        <v>25</v>
      </c>
      <c r="F937" s="8" t="s">
        <v>25</v>
      </c>
      <c r="I937" s="7" t="str">
        <f>IF(I936&lt;'Characteristics&amp;Parameters'!$B$17,ConcentrationsCalculations!I936+1,IF(I936="DS Node","",IF(I936="","","DS Node")))</f>
        <v/>
      </c>
      <c r="J937" s="13" t="str">
        <f>IF(I937="DS Node",'Characteristics&amp;Parameters'!$B$8,IF(I937&lt;='Characteristics&amp;Parameters'!$B$17,((1-'Characteristics&amp;Parameters'!$B$19)*ConcentrationsCalculations!F937+'Characteristics&amp;Parameters'!$B$19*ConcentrationsCalculations!F936-F937/86400*'Characteristics&amp;Parameters'!$B$11*'Characteristics&amp;Parameters'!$B$12),""))</f>
        <v/>
      </c>
    </row>
    <row r="938" spans="1:10" x14ac:dyDescent="0.5">
      <c r="A938" s="7" t="str">
        <f>IF(A937&lt;'Characteristics&amp;Parameters'!$B$17,ConcentrationsCalculations!A937+1,IF(A937="DS Node","",IF(A937="","","DS Node")))</f>
        <v/>
      </c>
      <c r="B938" s="8" t="str">
        <f>IF(A938&lt;='Characteristics&amp;Parameters'!$B$17,'Characteristics&amp;Parameters'!$B$7,IF(ConcentrationsCalculations!A938="DS Node",'Characteristics&amp;Parameters'!$B$8,""))</f>
        <v/>
      </c>
      <c r="C938" s="8"/>
      <c r="E938" s="7" t="s">
        <v>25</v>
      </c>
      <c r="F938" s="8" t="s">
        <v>25</v>
      </c>
      <c r="I938" s="7" t="str">
        <f>IF(I937&lt;'Characteristics&amp;Parameters'!$B$17,ConcentrationsCalculations!I937+1,IF(I937="DS Node","",IF(I937="","","DS Node")))</f>
        <v/>
      </c>
      <c r="J938" s="13" t="str">
        <f>IF(I938="DS Node",'Characteristics&amp;Parameters'!$B$8,IF(I938&lt;='Characteristics&amp;Parameters'!$B$17,((1-'Characteristics&amp;Parameters'!$B$19)*ConcentrationsCalculations!F938+'Characteristics&amp;Parameters'!$B$19*ConcentrationsCalculations!F937-F938/86400*'Characteristics&amp;Parameters'!$B$11*'Characteristics&amp;Parameters'!$B$12),""))</f>
        <v/>
      </c>
    </row>
    <row r="939" spans="1:10" x14ac:dyDescent="0.5">
      <c r="A939" s="7" t="str">
        <f>IF(A938&lt;'Characteristics&amp;Parameters'!$B$17,ConcentrationsCalculations!A938+1,IF(A938="DS Node","",IF(A938="","","DS Node")))</f>
        <v/>
      </c>
      <c r="B939" s="8" t="str">
        <f>IF(A939&lt;='Characteristics&amp;Parameters'!$B$17,'Characteristics&amp;Parameters'!$B$7,IF(ConcentrationsCalculations!A939="DS Node",'Characteristics&amp;Parameters'!$B$8,""))</f>
        <v/>
      </c>
      <c r="C939" s="8"/>
      <c r="E939" s="7" t="s">
        <v>25</v>
      </c>
      <c r="F939" s="8" t="s">
        <v>25</v>
      </c>
      <c r="I939" s="7" t="str">
        <f>IF(I938&lt;'Characteristics&amp;Parameters'!$B$17,ConcentrationsCalculations!I938+1,IF(I938="DS Node","",IF(I938="","","DS Node")))</f>
        <v/>
      </c>
      <c r="J939" s="13" t="str">
        <f>IF(I939="DS Node",'Characteristics&amp;Parameters'!$B$8,IF(I939&lt;='Characteristics&amp;Parameters'!$B$17,((1-'Characteristics&amp;Parameters'!$B$19)*ConcentrationsCalculations!F939+'Characteristics&amp;Parameters'!$B$19*ConcentrationsCalculations!F938-F939/86400*'Characteristics&amp;Parameters'!$B$11*'Characteristics&amp;Parameters'!$B$12),""))</f>
        <v/>
      </c>
    </row>
    <row r="940" spans="1:10" x14ac:dyDescent="0.5">
      <c r="A940" s="7" t="str">
        <f>IF(A939&lt;'Characteristics&amp;Parameters'!$B$17,ConcentrationsCalculations!A939+1,IF(A939="DS Node","",IF(A939="","","DS Node")))</f>
        <v/>
      </c>
      <c r="B940" s="8" t="str">
        <f>IF(A940&lt;='Characteristics&amp;Parameters'!$B$17,'Characteristics&amp;Parameters'!$B$7,IF(ConcentrationsCalculations!A940="DS Node",'Characteristics&amp;Parameters'!$B$8,""))</f>
        <v/>
      </c>
      <c r="C940" s="8"/>
      <c r="E940" s="7" t="s">
        <v>25</v>
      </c>
      <c r="F940" s="8" t="s">
        <v>25</v>
      </c>
      <c r="I940" s="7" t="str">
        <f>IF(I939&lt;'Characteristics&amp;Parameters'!$B$17,ConcentrationsCalculations!I939+1,IF(I939="DS Node","",IF(I939="","","DS Node")))</f>
        <v/>
      </c>
      <c r="J940" s="13" t="str">
        <f>IF(I940="DS Node",'Characteristics&amp;Parameters'!$B$8,IF(I940&lt;='Characteristics&amp;Parameters'!$B$17,((1-'Characteristics&amp;Parameters'!$B$19)*ConcentrationsCalculations!F940+'Characteristics&amp;Parameters'!$B$19*ConcentrationsCalculations!F939-F940/86400*'Characteristics&amp;Parameters'!$B$11*'Characteristics&amp;Parameters'!$B$12),""))</f>
        <v/>
      </c>
    </row>
    <row r="941" spans="1:10" x14ac:dyDescent="0.5">
      <c r="A941" s="7" t="str">
        <f>IF(A940&lt;'Characteristics&amp;Parameters'!$B$17,ConcentrationsCalculations!A940+1,IF(A940="DS Node","",IF(A940="","","DS Node")))</f>
        <v/>
      </c>
      <c r="B941" s="8" t="str">
        <f>IF(A941&lt;='Characteristics&amp;Parameters'!$B$17,'Characteristics&amp;Parameters'!$B$7,IF(ConcentrationsCalculations!A941="DS Node",'Characteristics&amp;Parameters'!$B$8,""))</f>
        <v/>
      </c>
      <c r="C941" s="8"/>
      <c r="E941" s="7" t="s">
        <v>25</v>
      </c>
      <c r="F941" s="8" t="s">
        <v>25</v>
      </c>
      <c r="I941" s="7" t="str">
        <f>IF(I940&lt;'Characteristics&amp;Parameters'!$B$17,ConcentrationsCalculations!I940+1,IF(I940="DS Node","",IF(I940="","","DS Node")))</f>
        <v/>
      </c>
      <c r="J941" s="13" t="str">
        <f>IF(I941="DS Node",'Characteristics&amp;Parameters'!$B$8,IF(I941&lt;='Characteristics&amp;Parameters'!$B$17,((1-'Characteristics&amp;Parameters'!$B$19)*ConcentrationsCalculations!F941+'Characteristics&amp;Parameters'!$B$19*ConcentrationsCalculations!F940-F941/86400*'Characteristics&amp;Parameters'!$B$11*'Characteristics&amp;Parameters'!$B$12),""))</f>
        <v/>
      </c>
    </row>
    <row r="942" spans="1:10" x14ac:dyDescent="0.5">
      <c r="A942" s="7" t="str">
        <f>IF(A941&lt;'Characteristics&amp;Parameters'!$B$17,ConcentrationsCalculations!A941+1,IF(A941="DS Node","",IF(A941="","","DS Node")))</f>
        <v/>
      </c>
      <c r="B942" s="8" t="str">
        <f>IF(A942&lt;='Characteristics&amp;Parameters'!$B$17,'Characteristics&amp;Parameters'!$B$7,IF(ConcentrationsCalculations!A942="DS Node",'Characteristics&amp;Parameters'!$B$8,""))</f>
        <v/>
      </c>
      <c r="C942" s="8"/>
      <c r="E942" s="7" t="s">
        <v>25</v>
      </c>
      <c r="F942" s="8" t="s">
        <v>25</v>
      </c>
      <c r="I942" s="7" t="str">
        <f>IF(I941&lt;'Characteristics&amp;Parameters'!$B$17,ConcentrationsCalculations!I941+1,IF(I941="DS Node","",IF(I941="","","DS Node")))</f>
        <v/>
      </c>
      <c r="J942" s="13" t="str">
        <f>IF(I942="DS Node",'Characteristics&amp;Parameters'!$B$8,IF(I942&lt;='Characteristics&amp;Parameters'!$B$17,((1-'Characteristics&amp;Parameters'!$B$19)*ConcentrationsCalculations!F942+'Characteristics&amp;Parameters'!$B$19*ConcentrationsCalculations!F941-F942/86400*'Characteristics&amp;Parameters'!$B$11*'Characteristics&amp;Parameters'!$B$12),""))</f>
        <v/>
      </c>
    </row>
    <row r="943" spans="1:10" x14ac:dyDescent="0.5">
      <c r="A943" s="7" t="str">
        <f>IF(A942&lt;'Characteristics&amp;Parameters'!$B$17,ConcentrationsCalculations!A942+1,IF(A942="DS Node","",IF(A942="","","DS Node")))</f>
        <v/>
      </c>
      <c r="B943" s="8" t="str">
        <f>IF(A943&lt;='Characteristics&amp;Parameters'!$B$17,'Characteristics&amp;Parameters'!$B$7,IF(ConcentrationsCalculations!A943="DS Node",'Characteristics&amp;Parameters'!$B$8,""))</f>
        <v/>
      </c>
      <c r="C943" s="8"/>
      <c r="E943" s="7" t="s">
        <v>25</v>
      </c>
      <c r="F943" s="8" t="s">
        <v>25</v>
      </c>
      <c r="I943" s="7" t="str">
        <f>IF(I942&lt;'Characteristics&amp;Parameters'!$B$17,ConcentrationsCalculations!I942+1,IF(I942="DS Node","",IF(I942="","","DS Node")))</f>
        <v/>
      </c>
      <c r="J943" s="13" t="str">
        <f>IF(I943="DS Node",'Characteristics&amp;Parameters'!$B$8,IF(I943&lt;='Characteristics&amp;Parameters'!$B$17,((1-'Characteristics&amp;Parameters'!$B$19)*ConcentrationsCalculations!F943+'Characteristics&amp;Parameters'!$B$19*ConcentrationsCalculations!F942-F943/86400*'Characteristics&amp;Parameters'!$B$11*'Characteristics&amp;Parameters'!$B$12),""))</f>
        <v/>
      </c>
    </row>
    <row r="944" spans="1:10" x14ac:dyDescent="0.5">
      <c r="A944" s="7" t="str">
        <f>IF(A943&lt;'Characteristics&amp;Parameters'!$B$17,ConcentrationsCalculations!A943+1,IF(A943="DS Node","",IF(A943="","","DS Node")))</f>
        <v/>
      </c>
      <c r="B944" s="8" t="str">
        <f>IF(A944&lt;='Characteristics&amp;Parameters'!$B$17,'Characteristics&amp;Parameters'!$B$7,IF(ConcentrationsCalculations!A944="DS Node",'Characteristics&amp;Parameters'!$B$8,""))</f>
        <v/>
      </c>
      <c r="C944" s="8"/>
      <c r="E944" s="7" t="s">
        <v>25</v>
      </c>
      <c r="F944" s="8" t="s">
        <v>25</v>
      </c>
      <c r="I944" s="7" t="str">
        <f>IF(I943&lt;'Characteristics&amp;Parameters'!$B$17,ConcentrationsCalculations!I943+1,IF(I943="DS Node","",IF(I943="","","DS Node")))</f>
        <v/>
      </c>
      <c r="J944" s="13" t="str">
        <f>IF(I944="DS Node",'Characteristics&amp;Parameters'!$B$8,IF(I944&lt;='Characteristics&amp;Parameters'!$B$17,((1-'Characteristics&amp;Parameters'!$B$19)*ConcentrationsCalculations!F944+'Characteristics&amp;Parameters'!$B$19*ConcentrationsCalculations!F943-F944/86400*'Characteristics&amp;Parameters'!$B$11*'Characteristics&amp;Parameters'!$B$12),""))</f>
        <v/>
      </c>
    </row>
    <row r="945" spans="1:10" x14ac:dyDescent="0.5">
      <c r="A945" s="7" t="str">
        <f>IF(A944&lt;'Characteristics&amp;Parameters'!$B$17,ConcentrationsCalculations!A944+1,IF(A944="DS Node","",IF(A944="","","DS Node")))</f>
        <v/>
      </c>
      <c r="B945" s="8" t="str">
        <f>IF(A945&lt;='Characteristics&amp;Parameters'!$B$17,'Characteristics&amp;Parameters'!$B$7,IF(ConcentrationsCalculations!A945="DS Node",'Characteristics&amp;Parameters'!$B$8,""))</f>
        <v/>
      </c>
      <c r="C945" s="8"/>
      <c r="E945" s="7" t="s">
        <v>25</v>
      </c>
      <c r="F945" s="8" t="s">
        <v>25</v>
      </c>
      <c r="I945" s="7" t="str">
        <f>IF(I944&lt;'Characteristics&amp;Parameters'!$B$17,ConcentrationsCalculations!I944+1,IF(I944="DS Node","",IF(I944="","","DS Node")))</f>
        <v/>
      </c>
      <c r="J945" s="13" t="str">
        <f>IF(I945="DS Node",'Characteristics&amp;Parameters'!$B$8,IF(I945&lt;='Characteristics&amp;Parameters'!$B$17,((1-'Characteristics&amp;Parameters'!$B$19)*ConcentrationsCalculations!F945+'Characteristics&amp;Parameters'!$B$19*ConcentrationsCalculations!F944-F945/86400*'Characteristics&amp;Parameters'!$B$11*'Characteristics&amp;Parameters'!$B$12),""))</f>
        <v/>
      </c>
    </row>
    <row r="946" spans="1:10" x14ac:dyDescent="0.5">
      <c r="A946" s="7" t="str">
        <f>IF(A945&lt;'Characteristics&amp;Parameters'!$B$17,ConcentrationsCalculations!A945+1,IF(A945="DS Node","",IF(A945="","","DS Node")))</f>
        <v/>
      </c>
      <c r="B946" s="8" t="str">
        <f>IF(A946&lt;='Characteristics&amp;Parameters'!$B$17,'Characteristics&amp;Parameters'!$B$7,IF(ConcentrationsCalculations!A946="DS Node",'Characteristics&amp;Parameters'!$B$8,""))</f>
        <v/>
      </c>
      <c r="C946" s="8"/>
      <c r="E946" s="7" t="s">
        <v>25</v>
      </c>
      <c r="F946" s="8" t="s">
        <v>25</v>
      </c>
      <c r="I946" s="7" t="str">
        <f>IF(I945&lt;'Characteristics&amp;Parameters'!$B$17,ConcentrationsCalculations!I945+1,IF(I945="DS Node","",IF(I945="","","DS Node")))</f>
        <v/>
      </c>
      <c r="J946" s="13" t="str">
        <f>IF(I946="DS Node",'Characteristics&amp;Parameters'!$B$8,IF(I946&lt;='Characteristics&amp;Parameters'!$B$17,((1-'Characteristics&amp;Parameters'!$B$19)*ConcentrationsCalculations!F946+'Characteristics&amp;Parameters'!$B$19*ConcentrationsCalculations!F945-F946/86400*'Characteristics&amp;Parameters'!$B$11*'Characteristics&amp;Parameters'!$B$12),""))</f>
        <v/>
      </c>
    </row>
    <row r="947" spans="1:10" x14ac:dyDescent="0.5">
      <c r="A947" s="7" t="str">
        <f>IF(A946&lt;'Characteristics&amp;Parameters'!$B$17,ConcentrationsCalculations!A946+1,IF(A946="DS Node","",IF(A946="","","DS Node")))</f>
        <v/>
      </c>
      <c r="B947" s="8" t="str">
        <f>IF(A947&lt;='Characteristics&amp;Parameters'!$B$17,'Characteristics&amp;Parameters'!$B$7,IF(ConcentrationsCalculations!A947="DS Node",'Characteristics&amp;Parameters'!$B$8,""))</f>
        <v/>
      </c>
      <c r="C947" s="8"/>
      <c r="E947" s="7" t="s">
        <v>25</v>
      </c>
      <c r="F947" s="8" t="s">
        <v>25</v>
      </c>
      <c r="I947" s="7" t="str">
        <f>IF(I946&lt;'Characteristics&amp;Parameters'!$B$17,ConcentrationsCalculations!I946+1,IF(I946="DS Node","",IF(I946="","","DS Node")))</f>
        <v/>
      </c>
      <c r="J947" s="13" t="str">
        <f>IF(I947="DS Node",'Characteristics&amp;Parameters'!$B$8,IF(I947&lt;='Characteristics&amp;Parameters'!$B$17,((1-'Characteristics&amp;Parameters'!$B$19)*ConcentrationsCalculations!F947+'Characteristics&amp;Parameters'!$B$19*ConcentrationsCalculations!F946-F947/86400*'Characteristics&amp;Parameters'!$B$11*'Characteristics&amp;Parameters'!$B$12),""))</f>
        <v/>
      </c>
    </row>
    <row r="948" spans="1:10" x14ac:dyDescent="0.5">
      <c r="A948" s="7" t="str">
        <f>IF(A947&lt;'Characteristics&amp;Parameters'!$B$17,ConcentrationsCalculations!A947+1,IF(A947="DS Node","",IF(A947="","","DS Node")))</f>
        <v/>
      </c>
      <c r="B948" s="8" t="str">
        <f>IF(A948&lt;='Characteristics&amp;Parameters'!$B$17,'Characteristics&amp;Parameters'!$B$7,IF(ConcentrationsCalculations!A948="DS Node",'Characteristics&amp;Parameters'!$B$8,""))</f>
        <v/>
      </c>
      <c r="C948" s="8"/>
      <c r="E948" s="7" t="s">
        <v>25</v>
      </c>
      <c r="F948" s="8" t="s">
        <v>25</v>
      </c>
      <c r="I948" s="7" t="str">
        <f>IF(I947&lt;'Characteristics&amp;Parameters'!$B$17,ConcentrationsCalculations!I947+1,IF(I947="DS Node","",IF(I947="","","DS Node")))</f>
        <v/>
      </c>
      <c r="J948" s="13" t="str">
        <f>IF(I948="DS Node",'Characteristics&amp;Parameters'!$B$8,IF(I948&lt;='Characteristics&amp;Parameters'!$B$17,((1-'Characteristics&amp;Parameters'!$B$19)*ConcentrationsCalculations!F948+'Characteristics&amp;Parameters'!$B$19*ConcentrationsCalculations!F947-F948/86400*'Characteristics&amp;Parameters'!$B$11*'Characteristics&amp;Parameters'!$B$12),""))</f>
        <v/>
      </c>
    </row>
    <row r="949" spans="1:10" x14ac:dyDescent="0.5">
      <c r="A949" s="7" t="str">
        <f>IF(A948&lt;'Characteristics&amp;Parameters'!$B$17,ConcentrationsCalculations!A948+1,IF(A948="DS Node","",IF(A948="","","DS Node")))</f>
        <v/>
      </c>
      <c r="B949" s="8" t="str">
        <f>IF(A949&lt;='Characteristics&amp;Parameters'!$B$17,'Characteristics&amp;Parameters'!$B$7,IF(ConcentrationsCalculations!A949="DS Node",'Characteristics&amp;Parameters'!$B$8,""))</f>
        <v/>
      </c>
      <c r="C949" s="8"/>
      <c r="E949" s="7" t="s">
        <v>25</v>
      </c>
      <c r="F949" s="8" t="s">
        <v>25</v>
      </c>
      <c r="I949" s="7" t="str">
        <f>IF(I948&lt;'Characteristics&amp;Parameters'!$B$17,ConcentrationsCalculations!I948+1,IF(I948="DS Node","",IF(I948="","","DS Node")))</f>
        <v/>
      </c>
      <c r="J949" s="13" t="str">
        <f>IF(I949="DS Node",'Characteristics&amp;Parameters'!$B$8,IF(I949&lt;='Characteristics&amp;Parameters'!$B$17,((1-'Characteristics&amp;Parameters'!$B$19)*ConcentrationsCalculations!F949+'Characteristics&amp;Parameters'!$B$19*ConcentrationsCalculations!F948-F949/86400*'Characteristics&amp;Parameters'!$B$11*'Characteristics&amp;Parameters'!$B$12),""))</f>
        <v/>
      </c>
    </row>
    <row r="950" spans="1:10" x14ac:dyDescent="0.5">
      <c r="A950" s="7" t="str">
        <f>IF(A949&lt;'Characteristics&amp;Parameters'!$B$17,ConcentrationsCalculations!A949+1,IF(A949="DS Node","",IF(A949="","","DS Node")))</f>
        <v/>
      </c>
      <c r="B950" s="8" t="str">
        <f>IF(A950&lt;='Characteristics&amp;Parameters'!$B$17,'Characteristics&amp;Parameters'!$B$7,IF(ConcentrationsCalculations!A950="DS Node",'Characteristics&amp;Parameters'!$B$8,""))</f>
        <v/>
      </c>
      <c r="C950" s="8"/>
      <c r="E950" s="7" t="s">
        <v>25</v>
      </c>
      <c r="F950" s="8" t="s">
        <v>25</v>
      </c>
      <c r="I950" s="7" t="str">
        <f>IF(I949&lt;'Characteristics&amp;Parameters'!$B$17,ConcentrationsCalculations!I949+1,IF(I949="DS Node","",IF(I949="","","DS Node")))</f>
        <v/>
      </c>
      <c r="J950" s="13" t="str">
        <f>IF(I950="DS Node",'Characteristics&amp;Parameters'!$B$8,IF(I950&lt;='Characteristics&amp;Parameters'!$B$17,((1-'Characteristics&amp;Parameters'!$B$19)*ConcentrationsCalculations!F950+'Characteristics&amp;Parameters'!$B$19*ConcentrationsCalculations!F949-F950/86400*'Characteristics&amp;Parameters'!$B$11*'Characteristics&amp;Parameters'!$B$12),""))</f>
        <v/>
      </c>
    </row>
    <row r="951" spans="1:10" x14ac:dyDescent="0.5">
      <c r="A951" s="7" t="str">
        <f>IF(A950&lt;'Characteristics&amp;Parameters'!$B$17,ConcentrationsCalculations!A950+1,IF(A950="DS Node","",IF(A950="","","DS Node")))</f>
        <v/>
      </c>
      <c r="B951" s="8" t="str">
        <f>IF(A951&lt;='Characteristics&amp;Parameters'!$B$17,'Characteristics&amp;Parameters'!$B$7,IF(ConcentrationsCalculations!A951="DS Node",'Characteristics&amp;Parameters'!$B$8,""))</f>
        <v/>
      </c>
      <c r="C951" s="8"/>
      <c r="E951" s="7" t="s">
        <v>25</v>
      </c>
      <c r="F951" s="8" t="s">
        <v>25</v>
      </c>
      <c r="I951" s="7" t="str">
        <f>IF(I950&lt;'Characteristics&amp;Parameters'!$B$17,ConcentrationsCalculations!I950+1,IF(I950="DS Node","",IF(I950="","","DS Node")))</f>
        <v/>
      </c>
      <c r="J951" s="13" t="str">
        <f>IF(I951="DS Node",'Characteristics&amp;Parameters'!$B$8,IF(I951&lt;='Characteristics&amp;Parameters'!$B$17,((1-'Characteristics&amp;Parameters'!$B$19)*ConcentrationsCalculations!F951+'Characteristics&amp;Parameters'!$B$19*ConcentrationsCalculations!F950-F951/86400*'Characteristics&amp;Parameters'!$B$11*'Characteristics&amp;Parameters'!$B$12),""))</f>
        <v/>
      </c>
    </row>
    <row r="952" spans="1:10" x14ac:dyDescent="0.5">
      <c r="A952" s="7" t="str">
        <f>IF(A951&lt;'Characteristics&amp;Parameters'!$B$17,ConcentrationsCalculations!A951+1,IF(A951="DS Node","",IF(A951="","","DS Node")))</f>
        <v/>
      </c>
      <c r="B952" s="8" t="str">
        <f>IF(A952&lt;='Characteristics&amp;Parameters'!$B$17,'Characteristics&amp;Parameters'!$B$7,IF(ConcentrationsCalculations!A952="DS Node",'Characteristics&amp;Parameters'!$B$8,""))</f>
        <v/>
      </c>
      <c r="C952" s="8"/>
      <c r="E952" s="7" t="s">
        <v>25</v>
      </c>
      <c r="F952" s="8" t="s">
        <v>25</v>
      </c>
      <c r="I952" s="7" t="str">
        <f>IF(I951&lt;'Characteristics&amp;Parameters'!$B$17,ConcentrationsCalculations!I951+1,IF(I951="DS Node","",IF(I951="","","DS Node")))</f>
        <v/>
      </c>
      <c r="J952" s="13" t="str">
        <f>IF(I952="DS Node",'Characteristics&amp;Parameters'!$B$8,IF(I952&lt;='Characteristics&amp;Parameters'!$B$17,((1-'Characteristics&amp;Parameters'!$B$19)*ConcentrationsCalculations!F952+'Characteristics&amp;Parameters'!$B$19*ConcentrationsCalculations!F951-F952/86400*'Characteristics&amp;Parameters'!$B$11*'Characteristics&amp;Parameters'!$B$12),""))</f>
        <v/>
      </c>
    </row>
    <row r="953" spans="1:10" x14ac:dyDescent="0.5">
      <c r="A953" s="7" t="str">
        <f>IF(A952&lt;'Characteristics&amp;Parameters'!$B$17,ConcentrationsCalculations!A952+1,IF(A952="DS Node","",IF(A952="","","DS Node")))</f>
        <v/>
      </c>
      <c r="B953" s="8" t="str">
        <f>IF(A953&lt;='Characteristics&amp;Parameters'!$B$17,'Characteristics&amp;Parameters'!$B$7,IF(ConcentrationsCalculations!A953="DS Node",'Characteristics&amp;Parameters'!$B$8,""))</f>
        <v/>
      </c>
      <c r="C953" s="8"/>
      <c r="E953" s="7" t="s">
        <v>25</v>
      </c>
      <c r="F953" s="8" t="s">
        <v>25</v>
      </c>
      <c r="I953" s="7" t="str">
        <f>IF(I952&lt;'Characteristics&amp;Parameters'!$B$17,ConcentrationsCalculations!I952+1,IF(I952="DS Node","",IF(I952="","","DS Node")))</f>
        <v/>
      </c>
      <c r="J953" s="13" t="str">
        <f>IF(I953="DS Node",'Characteristics&amp;Parameters'!$B$8,IF(I953&lt;='Characteristics&amp;Parameters'!$B$17,((1-'Characteristics&amp;Parameters'!$B$19)*ConcentrationsCalculations!F953+'Characteristics&amp;Parameters'!$B$19*ConcentrationsCalculations!F952-F953/86400*'Characteristics&amp;Parameters'!$B$11*'Characteristics&amp;Parameters'!$B$12),""))</f>
        <v/>
      </c>
    </row>
    <row r="954" spans="1:10" x14ac:dyDescent="0.5">
      <c r="A954" s="7" t="str">
        <f>IF(A953&lt;'Characteristics&amp;Parameters'!$B$17,ConcentrationsCalculations!A953+1,IF(A953="DS Node","",IF(A953="","","DS Node")))</f>
        <v/>
      </c>
      <c r="B954" s="8" t="str">
        <f>IF(A954&lt;='Characteristics&amp;Parameters'!$B$17,'Characteristics&amp;Parameters'!$B$7,IF(ConcentrationsCalculations!A954="DS Node",'Characteristics&amp;Parameters'!$B$8,""))</f>
        <v/>
      </c>
      <c r="C954" s="8"/>
      <c r="E954" s="7" t="s">
        <v>25</v>
      </c>
      <c r="F954" s="8" t="s">
        <v>25</v>
      </c>
      <c r="I954" s="7" t="str">
        <f>IF(I953&lt;'Characteristics&amp;Parameters'!$B$17,ConcentrationsCalculations!I953+1,IF(I953="DS Node","",IF(I953="","","DS Node")))</f>
        <v/>
      </c>
      <c r="J954" s="13" t="str">
        <f>IF(I954="DS Node",'Characteristics&amp;Parameters'!$B$8,IF(I954&lt;='Characteristics&amp;Parameters'!$B$17,((1-'Characteristics&amp;Parameters'!$B$19)*ConcentrationsCalculations!F954+'Characteristics&amp;Parameters'!$B$19*ConcentrationsCalculations!F953-F954/86400*'Characteristics&amp;Parameters'!$B$11*'Characteristics&amp;Parameters'!$B$12),""))</f>
        <v/>
      </c>
    </row>
    <row r="955" spans="1:10" x14ac:dyDescent="0.5">
      <c r="A955" s="7" t="str">
        <f>IF(A954&lt;'Characteristics&amp;Parameters'!$B$17,ConcentrationsCalculations!A954+1,IF(A954="DS Node","",IF(A954="","","DS Node")))</f>
        <v/>
      </c>
      <c r="B955" s="8" t="str">
        <f>IF(A955&lt;='Characteristics&amp;Parameters'!$B$17,'Characteristics&amp;Parameters'!$B$7,IF(ConcentrationsCalculations!A955="DS Node",'Characteristics&amp;Parameters'!$B$8,""))</f>
        <v/>
      </c>
      <c r="C955" s="8"/>
      <c r="E955" s="7" t="s">
        <v>25</v>
      </c>
      <c r="F955" s="8" t="s">
        <v>25</v>
      </c>
      <c r="I955" s="7" t="str">
        <f>IF(I954&lt;'Characteristics&amp;Parameters'!$B$17,ConcentrationsCalculations!I954+1,IF(I954="DS Node","",IF(I954="","","DS Node")))</f>
        <v/>
      </c>
      <c r="J955" s="13" t="str">
        <f>IF(I955="DS Node",'Characteristics&amp;Parameters'!$B$8,IF(I955&lt;='Characteristics&amp;Parameters'!$B$17,((1-'Characteristics&amp;Parameters'!$B$19)*ConcentrationsCalculations!F955+'Characteristics&amp;Parameters'!$B$19*ConcentrationsCalculations!F954-F955/86400*'Characteristics&amp;Parameters'!$B$11*'Characteristics&amp;Parameters'!$B$12),""))</f>
        <v/>
      </c>
    </row>
    <row r="956" spans="1:10" x14ac:dyDescent="0.5">
      <c r="A956" s="7" t="str">
        <f>IF(A955&lt;'Characteristics&amp;Parameters'!$B$17,ConcentrationsCalculations!A955+1,IF(A955="DS Node","",IF(A955="","","DS Node")))</f>
        <v/>
      </c>
      <c r="B956" s="8" t="str">
        <f>IF(A956&lt;='Characteristics&amp;Parameters'!$B$17,'Characteristics&amp;Parameters'!$B$7,IF(ConcentrationsCalculations!A956="DS Node",'Characteristics&amp;Parameters'!$B$8,""))</f>
        <v/>
      </c>
      <c r="C956" s="8"/>
      <c r="E956" s="7" t="s">
        <v>25</v>
      </c>
      <c r="F956" s="8" t="s">
        <v>25</v>
      </c>
      <c r="I956" s="7" t="str">
        <f>IF(I955&lt;'Characteristics&amp;Parameters'!$B$17,ConcentrationsCalculations!I955+1,IF(I955="DS Node","",IF(I955="","","DS Node")))</f>
        <v/>
      </c>
      <c r="J956" s="13" t="str">
        <f>IF(I956="DS Node",'Characteristics&amp;Parameters'!$B$8,IF(I956&lt;='Characteristics&amp;Parameters'!$B$17,((1-'Characteristics&amp;Parameters'!$B$19)*ConcentrationsCalculations!F956+'Characteristics&amp;Parameters'!$B$19*ConcentrationsCalculations!F955-F956/86400*'Characteristics&amp;Parameters'!$B$11*'Characteristics&amp;Parameters'!$B$12),""))</f>
        <v/>
      </c>
    </row>
    <row r="957" spans="1:10" x14ac:dyDescent="0.5">
      <c r="A957" s="7" t="str">
        <f>IF(A956&lt;'Characteristics&amp;Parameters'!$B$17,ConcentrationsCalculations!A956+1,IF(A956="DS Node","",IF(A956="","","DS Node")))</f>
        <v/>
      </c>
      <c r="B957" s="8" t="str">
        <f>IF(A957&lt;='Characteristics&amp;Parameters'!$B$17,'Characteristics&amp;Parameters'!$B$7,IF(ConcentrationsCalculations!A957="DS Node",'Characteristics&amp;Parameters'!$B$8,""))</f>
        <v/>
      </c>
      <c r="C957" s="8"/>
      <c r="E957" s="7" t="s">
        <v>25</v>
      </c>
      <c r="F957" s="8" t="s">
        <v>25</v>
      </c>
      <c r="I957" s="7" t="str">
        <f>IF(I956&lt;'Characteristics&amp;Parameters'!$B$17,ConcentrationsCalculations!I956+1,IF(I956="DS Node","",IF(I956="","","DS Node")))</f>
        <v/>
      </c>
      <c r="J957" s="13" t="str">
        <f>IF(I957="DS Node",'Characteristics&amp;Parameters'!$B$8,IF(I957&lt;='Characteristics&amp;Parameters'!$B$17,((1-'Characteristics&amp;Parameters'!$B$19)*ConcentrationsCalculations!F957+'Characteristics&amp;Parameters'!$B$19*ConcentrationsCalculations!F956-F957/86400*'Characteristics&amp;Parameters'!$B$11*'Characteristics&amp;Parameters'!$B$12),""))</f>
        <v/>
      </c>
    </row>
    <row r="958" spans="1:10" x14ac:dyDescent="0.5">
      <c r="A958" s="7" t="str">
        <f>IF(A957&lt;'Characteristics&amp;Parameters'!$B$17,ConcentrationsCalculations!A957+1,IF(A957="DS Node","",IF(A957="","","DS Node")))</f>
        <v/>
      </c>
      <c r="B958" s="8" t="str">
        <f>IF(A958&lt;='Characteristics&amp;Parameters'!$B$17,'Characteristics&amp;Parameters'!$B$7,IF(ConcentrationsCalculations!A958="DS Node",'Characteristics&amp;Parameters'!$B$8,""))</f>
        <v/>
      </c>
      <c r="C958" s="8"/>
      <c r="E958" s="7" t="s">
        <v>25</v>
      </c>
      <c r="F958" s="8" t="s">
        <v>25</v>
      </c>
      <c r="I958" s="7" t="str">
        <f>IF(I957&lt;'Characteristics&amp;Parameters'!$B$17,ConcentrationsCalculations!I957+1,IF(I957="DS Node","",IF(I957="","","DS Node")))</f>
        <v/>
      </c>
      <c r="J958" s="13" t="str">
        <f>IF(I958="DS Node",'Characteristics&amp;Parameters'!$B$8,IF(I958&lt;='Characteristics&amp;Parameters'!$B$17,((1-'Characteristics&amp;Parameters'!$B$19)*ConcentrationsCalculations!F958+'Characteristics&amp;Parameters'!$B$19*ConcentrationsCalculations!F957-F958/86400*'Characteristics&amp;Parameters'!$B$11*'Characteristics&amp;Parameters'!$B$12),""))</f>
        <v/>
      </c>
    </row>
    <row r="959" spans="1:10" x14ac:dyDescent="0.5">
      <c r="A959" s="7" t="str">
        <f>IF(A958&lt;'Characteristics&amp;Parameters'!$B$17,ConcentrationsCalculations!A958+1,IF(A958="DS Node","",IF(A958="","","DS Node")))</f>
        <v/>
      </c>
      <c r="B959" s="8" t="str">
        <f>IF(A959&lt;='Characteristics&amp;Parameters'!$B$17,'Characteristics&amp;Parameters'!$B$7,IF(ConcentrationsCalculations!A959="DS Node",'Characteristics&amp;Parameters'!$B$8,""))</f>
        <v/>
      </c>
      <c r="C959" s="8"/>
      <c r="E959" s="7" t="s">
        <v>25</v>
      </c>
      <c r="F959" s="8" t="s">
        <v>25</v>
      </c>
      <c r="I959" s="7" t="str">
        <f>IF(I958&lt;'Characteristics&amp;Parameters'!$B$17,ConcentrationsCalculations!I958+1,IF(I958="DS Node","",IF(I958="","","DS Node")))</f>
        <v/>
      </c>
      <c r="J959" s="13" t="str">
        <f>IF(I959="DS Node",'Characteristics&amp;Parameters'!$B$8,IF(I959&lt;='Characteristics&amp;Parameters'!$B$17,((1-'Characteristics&amp;Parameters'!$B$19)*ConcentrationsCalculations!F959+'Characteristics&amp;Parameters'!$B$19*ConcentrationsCalculations!F958-F959/86400*'Characteristics&amp;Parameters'!$B$11*'Characteristics&amp;Parameters'!$B$12),""))</f>
        <v/>
      </c>
    </row>
    <row r="960" spans="1:10" x14ac:dyDescent="0.5">
      <c r="A960" s="7" t="str">
        <f>IF(A959&lt;'Characteristics&amp;Parameters'!$B$17,ConcentrationsCalculations!A959+1,IF(A959="DS Node","",IF(A959="","","DS Node")))</f>
        <v/>
      </c>
      <c r="B960" s="8" t="str">
        <f>IF(A960&lt;='Characteristics&amp;Parameters'!$B$17,'Characteristics&amp;Parameters'!$B$7,IF(ConcentrationsCalculations!A960="DS Node",'Characteristics&amp;Parameters'!$B$8,""))</f>
        <v/>
      </c>
      <c r="C960" s="8"/>
      <c r="E960" s="7" t="s">
        <v>25</v>
      </c>
      <c r="F960" s="8" t="s">
        <v>25</v>
      </c>
      <c r="I960" s="7" t="str">
        <f>IF(I959&lt;'Characteristics&amp;Parameters'!$B$17,ConcentrationsCalculations!I959+1,IF(I959="DS Node","",IF(I959="","","DS Node")))</f>
        <v/>
      </c>
      <c r="J960" s="13" t="str">
        <f>IF(I960="DS Node",'Characteristics&amp;Parameters'!$B$8,IF(I960&lt;='Characteristics&amp;Parameters'!$B$17,((1-'Characteristics&amp;Parameters'!$B$19)*ConcentrationsCalculations!F960+'Characteristics&amp;Parameters'!$B$19*ConcentrationsCalculations!F959-F960/86400*'Characteristics&amp;Parameters'!$B$11*'Characteristics&amp;Parameters'!$B$12),""))</f>
        <v/>
      </c>
    </row>
    <row r="961" spans="1:10" x14ac:dyDescent="0.5">
      <c r="A961" s="7" t="str">
        <f>IF(A960&lt;'Characteristics&amp;Parameters'!$B$17,ConcentrationsCalculations!A960+1,IF(A960="DS Node","",IF(A960="","","DS Node")))</f>
        <v/>
      </c>
      <c r="B961" s="8" t="str">
        <f>IF(A961&lt;='Characteristics&amp;Parameters'!$B$17,'Characteristics&amp;Parameters'!$B$7,IF(ConcentrationsCalculations!A961="DS Node",'Characteristics&amp;Parameters'!$B$8,""))</f>
        <v/>
      </c>
      <c r="C961" s="8"/>
      <c r="E961" s="7" t="s">
        <v>25</v>
      </c>
      <c r="F961" s="8" t="s">
        <v>25</v>
      </c>
      <c r="I961" s="7" t="str">
        <f>IF(I960&lt;'Characteristics&amp;Parameters'!$B$17,ConcentrationsCalculations!I960+1,IF(I960="DS Node","",IF(I960="","","DS Node")))</f>
        <v/>
      </c>
      <c r="J961" s="13" t="str">
        <f>IF(I961="DS Node",'Characteristics&amp;Parameters'!$B$8,IF(I961&lt;='Characteristics&amp;Parameters'!$B$17,((1-'Characteristics&amp;Parameters'!$B$19)*ConcentrationsCalculations!F961+'Characteristics&amp;Parameters'!$B$19*ConcentrationsCalculations!F960-F961/86400*'Characteristics&amp;Parameters'!$B$11*'Characteristics&amp;Parameters'!$B$12),""))</f>
        <v/>
      </c>
    </row>
    <row r="962" spans="1:10" x14ac:dyDescent="0.5">
      <c r="A962" s="7" t="str">
        <f>IF(A961&lt;'Characteristics&amp;Parameters'!$B$17,ConcentrationsCalculations!A961+1,IF(A961="DS Node","",IF(A961="","","DS Node")))</f>
        <v/>
      </c>
      <c r="B962" s="8" t="str">
        <f>IF(A962&lt;='Characteristics&amp;Parameters'!$B$17,'Characteristics&amp;Parameters'!$B$7,IF(ConcentrationsCalculations!A962="DS Node",'Characteristics&amp;Parameters'!$B$8,""))</f>
        <v/>
      </c>
      <c r="C962" s="8"/>
      <c r="E962" s="7" t="s">
        <v>25</v>
      </c>
      <c r="F962" s="8" t="s">
        <v>25</v>
      </c>
      <c r="I962" s="7" t="str">
        <f>IF(I961&lt;'Characteristics&amp;Parameters'!$B$17,ConcentrationsCalculations!I961+1,IF(I961="DS Node","",IF(I961="","","DS Node")))</f>
        <v/>
      </c>
      <c r="J962" s="13" t="str">
        <f>IF(I962="DS Node",'Characteristics&amp;Parameters'!$B$8,IF(I962&lt;='Characteristics&amp;Parameters'!$B$17,((1-'Characteristics&amp;Parameters'!$B$19)*ConcentrationsCalculations!F962+'Characteristics&amp;Parameters'!$B$19*ConcentrationsCalculations!F961-F962/86400*'Characteristics&amp;Parameters'!$B$11*'Characteristics&amp;Parameters'!$B$12),""))</f>
        <v/>
      </c>
    </row>
    <row r="963" spans="1:10" x14ac:dyDescent="0.5">
      <c r="A963" s="7" t="str">
        <f>IF(A962&lt;'Characteristics&amp;Parameters'!$B$17,ConcentrationsCalculations!A962+1,IF(A962="DS Node","",IF(A962="","","DS Node")))</f>
        <v/>
      </c>
      <c r="B963" s="8" t="str">
        <f>IF(A963&lt;='Characteristics&amp;Parameters'!$B$17,'Characteristics&amp;Parameters'!$B$7,IF(ConcentrationsCalculations!A963="DS Node",'Characteristics&amp;Parameters'!$B$8,""))</f>
        <v/>
      </c>
      <c r="C963" s="8"/>
      <c r="E963" s="7" t="s">
        <v>25</v>
      </c>
      <c r="F963" s="8" t="s">
        <v>25</v>
      </c>
      <c r="I963" s="7" t="str">
        <f>IF(I962&lt;'Characteristics&amp;Parameters'!$B$17,ConcentrationsCalculations!I962+1,IF(I962="DS Node","",IF(I962="","","DS Node")))</f>
        <v/>
      </c>
      <c r="J963" s="13" t="str">
        <f>IF(I963="DS Node",'Characteristics&amp;Parameters'!$B$8,IF(I963&lt;='Characteristics&amp;Parameters'!$B$17,((1-'Characteristics&amp;Parameters'!$B$19)*ConcentrationsCalculations!F963+'Characteristics&amp;Parameters'!$B$19*ConcentrationsCalculations!F962-F963/86400*'Characteristics&amp;Parameters'!$B$11*'Characteristics&amp;Parameters'!$B$12),""))</f>
        <v/>
      </c>
    </row>
    <row r="964" spans="1:10" x14ac:dyDescent="0.5">
      <c r="A964" s="7" t="str">
        <f>IF(A963&lt;'Characteristics&amp;Parameters'!$B$17,ConcentrationsCalculations!A963+1,IF(A963="DS Node","",IF(A963="","","DS Node")))</f>
        <v/>
      </c>
      <c r="B964" s="8" t="str">
        <f>IF(A964&lt;='Characteristics&amp;Parameters'!$B$17,'Characteristics&amp;Parameters'!$B$7,IF(ConcentrationsCalculations!A964="DS Node",'Characteristics&amp;Parameters'!$B$8,""))</f>
        <v/>
      </c>
      <c r="C964" s="8"/>
      <c r="E964" s="7" t="s">
        <v>25</v>
      </c>
      <c r="F964" s="8" t="s">
        <v>25</v>
      </c>
      <c r="I964" s="7" t="str">
        <f>IF(I963&lt;'Characteristics&amp;Parameters'!$B$17,ConcentrationsCalculations!I963+1,IF(I963="DS Node","",IF(I963="","","DS Node")))</f>
        <v/>
      </c>
      <c r="J964" s="13" t="str">
        <f>IF(I964="DS Node",'Characteristics&amp;Parameters'!$B$8,IF(I964&lt;='Characteristics&amp;Parameters'!$B$17,((1-'Characteristics&amp;Parameters'!$B$19)*ConcentrationsCalculations!F964+'Characteristics&amp;Parameters'!$B$19*ConcentrationsCalculations!F963-F964/86400*'Characteristics&amp;Parameters'!$B$11*'Characteristics&amp;Parameters'!$B$12),""))</f>
        <v/>
      </c>
    </row>
    <row r="965" spans="1:10" x14ac:dyDescent="0.5">
      <c r="A965" s="7" t="str">
        <f>IF(A964&lt;'Characteristics&amp;Parameters'!$B$17,ConcentrationsCalculations!A964+1,IF(A964="DS Node","",IF(A964="","","DS Node")))</f>
        <v/>
      </c>
      <c r="B965" s="8" t="str">
        <f>IF(A965&lt;='Characteristics&amp;Parameters'!$B$17,'Characteristics&amp;Parameters'!$B$7,IF(ConcentrationsCalculations!A965="DS Node",'Characteristics&amp;Parameters'!$B$8,""))</f>
        <v/>
      </c>
      <c r="C965" s="8"/>
      <c r="E965" s="7" t="s">
        <v>25</v>
      </c>
      <c r="F965" s="8" t="s">
        <v>25</v>
      </c>
      <c r="I965" s="7" t="str">
        <f>IF(I964&lt;'Characteristics&amp;Parameters'!$B$17,ConcentrationsCalculations!I964+1,IF(I964="DS Node","",IF(I964="","","DS Node")))</f>
        <v/>
      </c>
      <c r="J965" s="13" t="str">
        <f>IF(I965="DS Node",'Characteristics&amp;Parameters'!$B$8,IF(I965&lt;='Characteristics&amp;Parameters'!$B$17,((1-'Characteristics&amp;Parameters'!$B$19)*ConcentrationsCalculations!F965+'Characteristics&amp;Parameters'!$B$19*ConcentrationsCalculations!F964-F965/86400*'Characteristics&amp;Parameters'!$B$11*'Characteristics&amp;Parameters'!$B$12),""))</f>
        <v/>
      </c>
    </row>
    <row r="966" spans="1:10" x14ac:dyDescent="0.5">
      <c r="A966" s="7" t="str">
        <f>IF(A965&lt;'Characteristics&amp;Parameters'!$B$17,ConcentrationsCalculations!A965+1,IF(A965="DS Node","",IF(A965="","","DS Node")))</f>
        <v/>
      </c>
      <c r="B966" s="8" t="str">
        <f>IF(A966&lt;='Characteristics&amp;Parameters'!$B$17,'Characteristics&amp;Parameters'!$B$7,IF(ConcentrationsCalculations!A966="DS Node",'Characteristics&amp;Parameters'!$B$8,""))</f>
        <v/>
      </c>
      <c r="C966" s="8"/>
      <c r="E966" s="7" t="s">
        <v>25</v>
      </c>
      <c r="F966" s="8" t="s">
        <v>25</v>
      </c>
      <c r="I966" s="7" t="str">
        <f>IF(I965&lt;'Characteristics&amp;Parameters'!$B$17,ConcentrationsCalculations!I965+1,IF(I965="DS Node","",IF(I965="","","DS Node")))</f>
        <v/>
      </c>
      <c r="J966" s="13" t="str">
        <f>IF(I966="DS Node",'Characteristics&amp;Parameters'!$B$8,IF(I966&lt;='Characteristics&amp;Parameters'!$B$17,((1-'Characteristics&amp;Parameters'!$B$19)*ConcentrationsCalculations!F966+'Characteristics&amp;Parameters'!$B$19*ConcentrationsCalculations!F965-F966/86400*'Characteristics&amp;Parameters'!$B$11*'Characteristics&amp;Parameters'!$B$12),""))</f>
        <v/>
      </c>
    </row>
    <row r="967" spans="1:10" x14ac:dyDescent="0.5">
      <c r="A967" s="7" t="str">
        <f>IF(A966&lt;'Characteristics&amp;Parameters'!$B$17,ConcentrationsCalculations!A966+1,IF(A966="DS Node","",IF(A966="","","DS Node")))</f>
        <v/>
      </c>
      <c r="B967" s="8" t="str">
        <f>IF(A967&lt;='Characteristics&amp;Parameters'!$B$17,'Characteristics&amp;Parameters'!$B$7,IF(ConcentrationsCalculations!A967="DS Node",'Characteristics&amp;Parameters'!$B$8,""))</f>
        <v/>
      </c>
      <c r="C967" s="8"/>
      <c r="E967" s="7" t="s">
        <v>25</v>
      </c>
      <c r="F967" s="8" t="s">
        <v>25</v>
      </c>
      <c r="I967" s="7" t="str">
        <f>IF(I966&lt;'Characteristics&amp;Parameters'!$B$17,ConcentrationsCalculations!I966+1,IF(I966="DS Node","",IF(I966="","","DS Node")))</f>
        <v/>
      </c>
      <c r="J967" s="13" t="str">
        <f>IF(I967="DS Node",'Characteristics&amp;Parameters'!$B$8,IF(I967&lt;='Characteristics&amp;Parameters'!$B$17,((1-'Characteristics&amp;Parameters'!$B$19)*ConcentrationsCalculations!F967+'Characteristics&amp;Parameters'!$B$19*ConcentrationsCalculations!F966-F967/86400*'Characteristics&amp;Parameters'!$B$11*'Characteristics&amp;Parameters'!$B$12),""))</f>
        <v/>
      </c>
    </row>
    <row r="968" spans="1:10" x14ac:dyDescent="0.5">
      <c r="A968" s="7" t="str">
        <f>IF(A967&lt;'Characteristics&amp;Parameters'!$B$17,ConcentrationsCalculations!A967+1,IF(A967="DS Node","",IF(A967="","","DS Node")))</f>
        <v/>
      </c>
      <c r="B968" s="8" t="str">
        <f>IF(A968&lt;='Characteristics&amp;Parameters'!$B$17,'Characteristics&amp;Parameters'!$B$7,IF(ConcentrationsCalculations!A968="DS Node",'Characteristics&amp;Parameters'!$B$8,""))</f>
        <v/>
      </c>
      <c r="C968" s="8"/>
      <c r="E968" s="7" t="s">
        <v>25</v>
      </c>
      <c r="F968" s="8" t="s">
        <v>25</v>
      </c>
      <c r="I968" s="7" t="str">
        <f>IF(I967&lt;'Characteristics&amp;Parameters'!$B$17,ConcentrationsCalculations!I967+1,IF(I967="DS Node","",IF(I967="","","DS Node")))</f>
        <v/>
      </c>
      <c r="J968" s="13" t="str">
        <f>IF(I968="DS Node",'Characteristics&amp;Parameters'!$B$8,IF(I968&lt;='Characteristics&amp;Parameters'!$B$17,((1-'Characteristics&amp;Parameters'!$B$19)*ConcentrationsCalculations!F968+'Characteristics&amp;Parameters'!$B$19*ConcentrationsCalculations!F967-F968/86400*'Characteristics&amp;Parameters'!$B$11*'Characteristics&amp;Parameters'!$B$12),""))</f>
        <v/>
      </c>
    </row>
    <row r="969" spans="1:10" x14ac:dyDescent="0.5">
      <c r="A969" s="7" t="str">
        <f>IF(A968&lt;'Characteristics&amp;Parameters'!$B$17,ConcentrationsCalculations!A968+1,IF(A968="DS Node","",IF(A968="","","DS Node")))</f>
        <v/>
      </c>
      <c r="B969" s="8" t="str">
        <f>IF(A969&lt;='Characteristics&amp;Parameters'!$B$17,'Characteristics&amp;Parameters'!$B$7,IF(ConcentrationsCalculations!A969="DS Node",'Characteristics&amp;Parameters'!$B$8,""))</f>
        <v/>
      </c>
      <c r="C969" s="8"/>
      <c r="E969" s="7" t="s">
        <v>25</v>
      </c>
      <c r="F969" s="8" t="s">
        <v>25</v>
      </c>
      <c r="I969" s="7" t="str">
        <f>IF(I968&lt;'Characteristics&amp;Parameters'!$B$17,ConcentrationsCalculations!I968+1,IF(I968="DS Node","",IF(I968="","","DS Node")))</f>
        <v/>
      </c>
      <c r="J969" s="13" t="str">
        <f>IF(I969="DS Node",'Characteristics&amp;Parameters'!$B$8,IF(I969&lt;='Characteristics&amp;Parameters'!$B$17,((1-'Characteristics&amp;Parameters'!$B$19)*ConcentrationsCalculations!F969+'Characteristics&amp;Parameters'!$B$19*ConcentrationsCalculations!F968-F969/86400*'Characteristics&amp;Parameters'!$B$11*'Characteristics&amp;Parameters'!$B$12),""))</f>
        <v/>
      </c>
    </row>
    <row r="970" spans="1:10" x14ac:dyDescent="0.5">
      <c r="A970" s="7" t="str">
        <f>IF(A969&lt;'Characteristics&amp;Parameters'!$B$17,ConcentrationsCalculations!A969+1,IF(A969="DS Node","",IF(A969="","","DS Node")))</f>
        <v/>
      </c>
      <c r="B970" s="8" t="str">
        <f>IF(A970&lt;='Characteristics&amp;Parameters'!$B$17,'Characteristics&amp;Parameters'!$B$7,IF(ConcentrationsCalculations!A970="DS Node",'Characteristics&amp;Parameters'!$B$8,""))</f>
        <v/>
      </c>
      <c r="C970" s="8"/>
      <c r="E970" s="7" t="s">
        <v>25</v>
      </c>
      <c r="F970" s="8" t="s">
        <v>25</v>
      </c>
      <c r="I970" s="7" t="str">
        <f>IF(I969&lt;'Characteristics&amp;Parameters'!$B$17,ConcentrationsCalculations!I969+1,IF(I969="DS Node","",IF(I969="","","DS Node")))</f>
        <v/>
      </c>
      <c r="J970" s="13" t="str">
        <f>IF(I970="DS Node",'Characteristics&amp;Parameters'!$B$8,IF(I970&lt;='Characteristics&amp;Parameters'!$B$17,((1-'Characteristics&amp;Parameters'!$B$19)*ConcentrationsCalculations!F970+'Characteristics&amp;Parameters'!$B$19*ConcentrationsCalculations!F969-F970/86400*'Characteristics&amp;Parameters'!$B$11*'Characteristics&amp;Parameters'!$B$12),""))</f>
        <v/>
      </c>
    </row>
    <row r="971" spans="1:10" x14ac:dyDescent="0.5">
      <c r="A971" s="7" t="str">
        <f>IF(A970&lt;'Characteristics&amp;Parameters'!$B$17,ConcentrationsCalculations!A970+1,IF(A970="DS Node","",IF(A970="","","DS Node")))</f>
        <v/>
      </c>
      <c r="B971" s="8" t="str">
        <f>IF(A971&lt;='Characteristics&amp;Parameters'!$B$17,'Characteristics&amp;Parameters'!$B$7,IF(ConcentrationsCalculations!A971="DS Node",'Characteristics&amp;Parameters'!$B$8,""))</f>
        <v/>
      </c>
      <c r="C971" s="8"/>
      <c r="E971" s="7" t="s">
        <v>25</v>
      </c>
      <c r="F971" s="8" t="s">
        <v>25</v>
      </c>
      <c r="I971" s="7" t="str">
        <f>IF(I970&lt;'Characteristics&amp;Parameters'!$B$17,ConcentrationsCalculations!I970+1,IF(I970="DS Node","",IF(I970="","","DS Node")))</f>
        <v/>
      </c>
      <c r="J971" s="13" t="str">
        <f>IF(I971="DS Node",'Characteristics&amp;Parameters'!$B$8,IF(I971&lt;='Characteristics&amp;Parameters'!$B$17,((1-'Characteristics&amp;Parameters'!$B$19)*ConcentrationsCalculations!F971+'Characteristics&amp;Parameters'!$B$19*ConcentrationsCalculations!F970-F971/86400*'Characteristics&amp;Parameters'!$B$11*'Characteristics&amp;Parameters'!$B$12),""))</f>
        <v/>
      </c>
    </row>
    <row r="972" spans="1:10" x14ac:dyDescent="0.5">
      <c r="A972" s="7" t="str">
        <f>IF(A971&lt;'Characteristics&amp;Parameters'!$B$17,ConcentrationsCalculations!A971+1,IF(A971="DS Node","",IF(A971="","","DS Node")))</f>
        <v/>
      </c>
      <c r="B972" s="8" t="str">
        <f>IF(A972&lt;='Characteristics&amp;Parameters'!$B$17,'Characteristics&amp;Parameters'!$B$7,IF(ConcentrationsCalculations!A972="DS Node",'Characteristics&amp;Parameters'!$B$8,""))</f>
        <v/>
      </c>
      <c r="C972" s="8"/>
      <c r="E972" s="7" t="s">
        <v>25</v>
      </c>
      <c r="F972" s="8" t="s">
        <v>25</v>
      </c>
      <c r="I972" s="7" t="str">
        <f>IF(I971&lt;'Characteristics&amp;Parameters'!$B$17,ConcentrationsCalculations!I971+1,IF(I971="DS Node","",IF(I971="","","DS Node")))</f>
        <v/>
      </c>
      <c r="J972" s="13" t="str">
        <f>IF(I972="DS Node",'Characteristics&amp;Parameters'!$B$8,IF(I972&lt;='Characteristics&amp;Parameters'!$B$17,((1-'Characteristics&amp;Parameters'!$B$19)*ConcentrationsCalculations!F972+'Characteristics&amp;Parameters'!$B$19*ConcentrationsCalculations!F971-F972/86400*'Characteristics&amp;Parameters'!$B$11*'Characteristics&amp;Parameters'!$B$12),""))</f>
        <v/>
      </c>
    </row>
    <row r="973" spans="1:10" x14ac:dyDescent="0.5">
      <c r="A973" s="7" t="str">
        <f>IF(A972&lt;'Characteristics&amp;Parameters'!$B$17,ConcentrationsCalculations!A972+1,IF(A972="DS Node","",IF(A972="","","DS Node")))</f>
        <v/>
      </c>
      <c r="B973" s="8" t="str">
        <f>IF(A973&lt;='Characteristics&amp;Parameters'!$B$17,'Characteristics&amp;Parameters'!$B$7,IF(ConcentrationsCalculations!A973="DS Node",'Characteristics&amp;Parameters'!$B$8,""))</f>
        <v/>
      </c>
      <c r="C973" s="8"/>
      <c r="E973" s="7" t="s">
        <v>25</v>
      </c>
      <c r="F973" s="8" t="s">
        <v>25</v>
      </c>
      <c r="I973" s="7" t="str">
        <f>IF(I972&lt;'Characteristics&amp;Parameters'!$B$17,ConcentrationsCalculations!I972+1,IF(I972="DS Node","",IF(I972="","","DS Node")))</f>
        <v/>
      </c>
      <c r="J973" s="13" t="str">
        <f>IF(I973="DS Node",'Characteristics&amp;Parameters'!$B$8,IF(I973&lt;='Characteristics&amp;Parameters'!$B$17,((1-'Characteristics&amp;Parameters'!$B$19)*ConcentrationsCalculations!F973+'Characteristics&amp;Parameters'!$B$19*ConcentrationsCalculations!F972-F973/86400*'Characteristics&amp;Parameters'!$B$11*'Characteristics&amp;Parameters'!$B$12),""))</f>
        <v/>
      </c>
    </row>
    <row r="974" spans="1:10" x14ac:dyDescent="0.5">
      <c r="A974" s="7" t="str">
        <f>IF(A973&lt;'Characteristics&amp;Parameters'!$B$17,ConcentrationsCalculations!A973+1,IF(A973="DS Node","",IF(A973="","","DS Node")))</f>
        <v/>
      </c>
      <c r="B974" s="8" t="str">
        <f>IF(A974&lt;='Characteristics&amp;Parameters'!$B$17,'Characteristics&amp;Parameters'!$B$7,IF(ConcentrationsCalculations!A974="DS Node",'Characteristics&amp;Parameters'!$B$8,""))</f>
        <v/>
      </c>
      <c r="C974" s="8"/>
      <c r="E974" s="7" t="s">
        <v>25</v>
      </c>
      <c r="F974" s="8" t="s">
        <v>25</v>
      </c>
      <c r="I974" s="7" t="str">
        <f>IF(I973&lt;'Characteristics&amp;Parameters'!$B$17,ConcentrationsCalculations!I973+1,IF(I973="DS Node","",IF(I973="","","DS Node")))</f>
        <v/>
      </c>
      <c r="J974" s="13" t="str">
        <f>IF(I974="DS Node",'Characteristics&amp;Parameters'!$B$8,IF(I974&lt;='Characteristics&amp;Parameters'!$B$17,((1-'Characteristics&amp;Parameters'!$B$19)*ConcentrationsCalculations!F974+'Characteristics&amp;Parameters'!$B$19*ConcentrationsCalculations!F973-F974/86400*'Characteristics&amp;Parameters'!$B$11*'Characteristics&amp;Parameters'!$B$12),""))</f>
        <v/>
      </c>
    </row>
    <row r="975" spans="1:10" x14ac:dyDescent="0.5">
      <c r="A975" s="7" t="str">
        <f>IF(A974&lt;'Characteristics&amp;Parameters'!$B$17,ConcentrationsCalculations!A974+1,IF(A974="DS Node","",IF(A974="","","DS Node")))</f>
        <v/>
      </c>
      <c r="B975" s="8" t="str">
        <f>IF(A975&lt;='Characteristics&amp;Parameters'!$B$17,'Characteristics&amp;Parameters'!$B$7,IF(ConcentrationsCalculations!A975="DS Node",'Characteristics&amp;Parameters'!$B$8,""))</f>
        <v/>
      </c>
      <c r="C975" s="8"/>
      <c r="E975" s="7" t="s">
        <v>25</v>
      </c>
      <c r="F975" s="8" t="s">
        <v>25</v>
      </c>
      <c r="I975" s="7" t="str">
        <f>IF(I974&lt;'Characteristics&amp;Parameters'!$B$17,ConcentrationsCalculations!I974+1,IF(I974="DS Node","",IF(I974="","","DS Node")))</f>
        <v/>
      </c>
      <c r="J975" s="13" t="str">
        <f>IF(I975="DS Node",'Characteristics&amp;Parameters'!$B$8,IF(I975&lt;='Characteristics&amp;Parameters'!$B$17,((1-'Characteristics&amp;Parameters'!$B$19)*ConcentrationsCalculations!F975+'Characteristics&amp;Parameters'!$B$19*ConcentrationsCalculations!F974-F975/86400*'Characteristics&amp;Parameters'!$B$11*'Characteristics&amp;Parameters'!$B$12),""))</f>
        <v/>
      </c>
    </row>
    <row r="976" spans="1:10" x14ac:dyDescent="0.5">
      <c r="A976" s="7" t="str">
        <f>IF(A975&lt;'Characteristics&amp;Parameters'!$B$17,ConcentrationsCalculations!A975+1,IF(A975="DS Node","",IF(A975="","","DS Node")))</f>
        <v/>
      </c>
      <c r="B976" s="8" t="str">
        <f>IF(A976&lt;='Characteristics&amp;Parameters'!$B$17,'Characteristics&amp;Parameters'!$B$7,IF(ConcentrationsCalculations!A976="DS Node",'Characteristics&amp;Parameters'!$B$8,""))</f>
        <v/>
      </c>
      <c r="C976" s="8"/>
      <c r="E976" s="7" t="s">
        <v>25</v>
      </c>
      <c r="F976" s="8" t="s">
        <v>25</v>
      </c>
      <c r="I976" s="7" t="str">
        <f>IF(I975&lt;'Characteristics&amp;Parameters'!$B$17,ConcentrationsCalculations!I975+1,IF(I975="DS Node","",IF(I975="","","DS Node")))</f>
        <v/>
      </c>
      <c r="J976" s="13" t="str">
        <f>IF(I976="DS Node",'Characteristics&amp;Parameters'!$B$8,IF(I976&lt;='Characteristics&amp;Parameters'!$B$17,((1-'Characteristics&amp;Parameters'!$B$19)*ConcentrationsCalculations!F976+'Characteristics&amp;Parameters'!$B$19*ConcentrationsCalculations!F975-F976/86400*'Characteristics&amp;Parameters'!$B$11*'Characteristics&amp;Parameters'!$B$12),""))</f>
        <v/>
      </c>
    </row>
    <row r="977" spans="1:10" x14ac:dyDescent="0.5">
      <c r="A977" s="7" t="str">
        <f>IF(A976&lt;'Characteristics&amp;Parameters'!$B$17,ConcentrationsCalculations!A976+1,IF(A976="DS Node","",IF(A976="","","DS Node")))</f>
        <v/>
      </c>
      <c r="B977" s="8" t="str">
        <f>IF(A977&lt;='Characteristics&amp;Parameters'!$B$17,'Characteristics&amp;Parameters'!$B$7,IF(ConcentrationsCalculations!A977="DS Node",'Characteristics&amp;Parameters'!$B$8,""))</f>
        <v/>
      </c>
      <c r="C977" s="8"/>
      <c r="E977" s="7" t="s">
        <v>25</v>
      </c>
      <c r="F977" s="8" t="s">
        <v>25</v>
      </c>
      <c r="I977" s="7" t="str">
        <f>IF(I976&lt;'Characteristics&amp;Parameters'!$B$17,ConcentrationsCalculations!I976+1,IF(I976="DS Node","",IF(I976="","","DS Node")))</f>
        <v/>
      </c>
      <c r="J977" s="13" t="str">
        <f>IF(I977="DS Node",'Characteristics&amp;Parameters'!$B$8,IF(I977&lt;='Characteristics&amp;Parameters'!$B$17,((1-'Characteristics&amp;Parameters'!$B$19)*ConcentrationsCalculations!F977+'Characteristics&amp;Parameters'!$B$19*ConcentrationsCalculations!F976-F977/86400*'Characteristics&amp;Parameters'!$B$11*'Characteristics&amp;Parameters'!$B$12),""))</f>
        <v/>
      </c>
    </row>
    <row r="978" spans="1:10" x14ac:dyDescent="0.5">
      <c r="A978" s="7" t="str">
        <f>IF(A977&lt;'Characteristics&amp;Parameters'!$B$17,ConcentrationsCalculations!A977+1,IF(A977="DS Node","",IF(A977="","","DS Node")))</f>
        <v/>
      </c>
      <c r="B978" s="8" t="str">
        <f>IF(A978&lt;='Characteristics&amp;Parameters'!$B$17,'Characteristics&amp;Parameters'!$B$7,IF(ConcentrationsCalculations!A978="DS Node",'Characteristics&amp;Parameters'!$B$8,""))</f>
        <v/>
      </c>
      <c r="C978" s="8"/>
      <c r="E978" s="7" t="s">
        <v>25</v>
      </c>
      <c r="F978" s="8" t="s">
        <v>25</v>
      </c>
      <c r="I978" s="7" t="str">
        <f>IF(I977&lt;'Characteristics&amp;Parameters'!$B$17,ConcentrationsCalculations!I977+1,IF(I977="DS Node","",IF(I977="","","DS Node")))</f>
        <v/>
      </c>
      <c r="J978" s="13" t="str">
        <f>IF(I978="DS Node",'Characteristics&amp;Parameters'!$B$8,IF(I978&lt;='Characteristics&amp;Parameters'!$B$17,((1-'Characteristics&amp;Parameters'!$B$19)*ConcentrationsCalculations!F978+'Characteristics&amp;Parameters'!$B$19*ConcentrationsCalculations!F977-F978/86400*'Characteristics&amp;Parameters'!$B$11*'Characteristics&amp;Parameters'!$B$12),""))</f>
        <v/>
      </c>
    </row>
    <row r="979" spans="1:10" x14ac:dyDescent="0.5">
      <c r="A979" s="7" t="str">
        <f>IF(A978&lt;'Characteristics&amp;Parameters'!$B$17,ConcentrationsCalculations!A978+1,IF(A978="DS Node","",IF(A978="","","DS Node")))</f>
        <v/>
      </c>
      <c r="B979" s="8" t="str">
        <f>IF(A979&lt;='Characteristics&amp;Parameters'!$B$17,'Characteristics&amp;Parameters'!$B$7,IF(ConcentrationsCalculations!A979="DS Node",'Characteristics&amp;Parameters'!$B$8,""))</f>
        <v/>
      </c>
      <c r="C979" s="8"/>
      <c r="E979" s="7" t="s">
        <v>25</v>
      </c>
      <c r="F979" s="8" t="s">
        <v>25</v>
      </c>
      <c r="I979" s="7" t="str">
        <f>IF(I978&lt;'Characteristics&amp;Parameters'!$B$17,ConcentrationsCalculations!I978+1,IF(I978="DS Node","",IF(I978="","","DS Node")))</f>
        <v/>
      </c>
      <c r="J979" s="13" t="str">
        <f>IF(I979="DS Node",'Characteristics&amp;Parameters'!$B$8,IF(I979&lt;='Characteristics&amp;Parameters'!$B$17,((1-'Characteristics&amp;Parameters'!$B$19)*ConcentrationsCalculations!F979+'Characteristics&amp;Parameters'!$B$19*ConcentrationsCalculations!F978-F979/86400*'Characteristics&amp;Parameters'!$B$11*'Characteristics&amp;Parameters'!$B$12),""))</f>
        <v/>
      </c>
    </row>
    <row r="980" spans="1:10" x14ac:dyDescent="0.5">
      <c r="A980" s="7" t="str">
        <f>IF(A979&lt;'Characteristics&amp;Parameters'!$B$17,ConcentrationsCalculations!A979+1,IF(A979="DS Node","",IF(A979="","","DS Node")))</f>
        <v/>
      </c>
      <c r="B980" s="8" t="str">
        <f>IF(A980&lt;='Characteristics&amp;Parameters'!$B$17,'Characteristics&amp;Parameters'!$B$7,IF(ConcentrationsCalculations!A980="DS Node",'Characteristics&amp;Parameters'!$B$8,""))</f>
        <v/>
      </c>
      <c r="C980" s="8"/>
      <c r="E980" s="7" t="s">
        <v>25</v>
      </c>
      <c r="F980" s="8" t="s">
        <v>25</v>
      </c>
      <c r="I980" s="7" t="str">
        <f>IF(I979&lt;'Characteristics&amp;Parameters'!$B$17,ConcentrationsCalculations!I979+1,IF(I979="DS Node","",IF(I979="","","DS Node")))</f>
        <v/>
      </c>
      <c r="J980" s="13" t="str">
        <f>IF(I980="DS Node",'Characteristics&amp;Parameters'!$B$8,IF(I980&lt;='Characteristics&amp;Parameters'!$B$17,((1-'Characteristics&amp;Parameters'!$B$19)*ConcentrationsCalculations!F980+'Characteristics&amp;Parameters'!$B$19*ConcentrationsCalculations!F979-F980/86400*'Characteristics&amp;Parameters'!$B$11*'Characteristics&amp;Parameters'!$B$12),""))</f>
        <v/>
      </c>
    </row>
    <row r="981" spans="1:10" x14ac:dyDescent="0.5">
      <c r="A981" s="7" t="str">
        <f>IF(A980&lt;'Characteristics&amp;Parameters'!$B$17,ConcentrationsCalculations!A980+1,IF(A980="DS Node","",IF(A980="","","DS Node")))</f>
        <v/>
      </c>
      <c r="B981" s="8" t="str">
        <f>IF(A981&lt;='Characteristics&amp;Parameters'!$B$17,'Characteristics&amp;Parameters'!$B$7,IF(ConcentrationsCalculations!A981="DS Node",'Characteristics&amp;Parameters'!$B$8,""))</f>
        <v/>
      </c>
      <c r="C981" s="8"/>
      <c r="E981" s="7" t="s">
        <v>25</v>
      </c>
      <c r="F981" s="8" t="s">
        <v>25</v>
      </c>
      <c r="I981" s="7" t="str">
        <f>IF(I980&lt;'Characteristics&amp;Parameters'!$B$17,ConcentrationsCalculations!I980+1,IF(I980="DS Node","",IF(I980="","","DS Node")))</f>
        <v/>
      </c>
      <c r="J981" s="13" t="str">
        <f>IF(I981="DS Node",'Characteristics&amp;Parameters'!$B$8,IF(I981&lt;='Characteristics&amp;Parameters'!$B$17,((1-'Characteristics&amp;Parameters'!$B$19)*ConcentrationsCalculations!F981+'Characteristics&amp;Parameters'!$B$19*ConcentrationsCalculations!F980-F981/86400*'Characteristics&amp;Parameters'!$B$11*'Characteristics&amp;Parameters'!$B$12),""))</f>
        <v/>
      </c>
    </row>
    <row r="982" spans="1:10" x14ac:dyDescent="0.5">
      <c r="A982" s="7" t="str">
        <f>IF(A981&lt;'Characteristics&amp;Parameters'!$B$17,ConcentrationsCalculations!A981+1,IF(A981="DS Node","",IF(A981="","","DS Node")))</f>
        <v/>
      </c>
      <c r="B982" s="8" t="str">
        <f>IF(A982&lt;='Characteristics&amp;Parameters'!$B$17,'Characteristics&amp;Parameters'!$B$7,IF(ConcentrationsCalculations!A982="DS Node",'Characteristics&amp;Parameters'!$B$8,""))</f>
        <v/>
      </c>
      <c r="C982" s="8"/>
      <c r="E982" s="7" t="s">
        <v>25</v>
      </c>
      <c r="F982" s="8" t="s">
        <v>25</v>
      </c>
      <c r="I982" s="7" t="str">
        <f>IF(I981&lt;'Characteristics&amp;Parameters'!$B$17,ConcentrationsCalculations!I981+1,IF(I981="DS Node","",IF(I981="","","DS Node")))</f>
        <v/>
      </c>
      <c r="J982" s="13" t="str">
        <f>IF(I982="DS Node",'Characteristics&amp;Parameters'!$B$8,IF(I982&lt;='Characteristics&amp;Parameters'!$B$17,((1-'Characteristics&amp;Parameters'!$B$19)*ConcentrationsCalculations!F982+'Characteristics&amp;Parameters'!$B$19*ConcentrationsCalculations!F981-F982/86400*'Characteristics&amp;Parameters'!$B$11*'Characteristics&amp;Parameters'!$B$12),""))</f>
        <v/>
      </c>
    </row>
    <row r="983" spans="1:10" x14ac:dyDescent="0.5">
      <c r="A983" s="7" t="str">
        <f>IF(A982&lt;'Characteristics&amp;Parameters'!$B$17,ConcentrationsCalculations!A982+1,IF(A982="DS Node","",IF(A982="","","DS Node")))</f>
        <v/>
      </c>
      <c r="B983" s="8" t="str">
        <f>IF(A983&lt;='Characteristics&amp;Parameters'!$B$17,'Characteristics&amp;Parameters'!$B$7,IF(ConcentrationsCalculations!A983="DS Node",'Characteristics&amp;Parameters'!$B$8,""))</f>
        <v/>
      </c>
      <c r="C983" s="8"/>
      <c r="E983" s="7" t="s">
        <v>25</v>
      </c>
      <c r="F983" s="8" t="s">
        <v>25</v>
      </c>
      <c r="I983" s="7" t="str">
        <f>IF(I982&lt;'Characteristics&amp;Parameters'!$B$17,ConcentrationsCalculations!I982+1,IF(I982="DS Node","",IF(I982="","","DS Node")))</f>
        <v/>
      </c>
      <c r="J983" s="13" t="str">
        <f>IF(I983="DS Node",'Characteristics&amp;Parameters'!$B$8,IF(I983&lt;='Characteristics&amp;Parameters'!$B$17,((1-'Characteristics&amp;Parameters'!$B$19)*ConcentrationsCalculations!F983+'Characteristics&amp;Parameters'!$B$19*ConcentrationsCalculations!F982-F983/86400*'Characteristics&amp;Parameters'!$B$11*'Characteristics&amp;Parameters'!$B$12),""))</f>
        <v/>
      </c>
    </row>
    <row r="984" spans="1:10" x14ac:dyDescent="0.5">
      <c r="A984" s="7" t="str">
        <f>IF(A983&lt;'Characteristics&amp;Parameters'!$B$17,ConcentrationsCalculations!A983+1,IF(A983="DS Node","",IF(A983="","","DS Node")))</f>
        <v/>
      </c>
      <c r="B984" s="8" t="str">
        <f>IF(A984&lt;='Characteristics&amp;Parameters'!$B$17,'Characteristics&amp;Parameters'!$B$7,IF(ConcentrationsCalculations!A984="DS Node",'Characteristics&amp;Parameters'!$B$8,""))</f>
        <v/>
      </c>
      <c r="C984" s="8"/>
      <c r="E984" s="7" t="s">
        <v>25</v>
      </c>
      <c r="F984" s="8" t="s">
        <v>25</v>
      </c>
      <c r="I984" s="7" t="str">
        <f>IF(I983&lt;'Characteristics&amp;Parameters'!$B$17,ConcentrationsCalculations!I983+1,IF(I983="DS Node","",IF(I983="","","DS Node")))</f>
        <v/>
      </c>
      <c r="J984" s="13" t="str">
        <f>IF(I984="DS Node",'Characteristics&amp;Parameters'!$B$8,IF(I984&lt;='Characteristics&amp;Parameters'!$B$17,((1-'Characteristics&amp;Parameters'!$B$19)*ConcentrationsCalculations!F984+'Characteristics&amp;Parameters'!$B$19*ConcentrationsCalculations!F983-F984/86400*'Characteristics&amp;Parameters'!$B$11*'Characteristics&amp;Parameters'!$B$12),""))</f>
        <v/>
      </c>
    </row>
    <row r="985" spans="1:10" x14ac:dyDescent="0.5">
      <c r="A985" s="7" t="str">
        <f>IF(A984&lt;'Characteristics&amp;Parameters'!$B$17,ConcentrationsCalculations!A984+1,IF(A984="DS Node","",IF(A984="","","DS Node")))</f>
        <v/>
      </c>
      <c r="B985" s="8" t="str">
        <f>IF(A985&lt;='Characteristics&amp;Parameters'!$B$17,'Characteristics&amp;Parameters'!$B$7,IF(ConcentrationsCalculations!A985="DS Node",'Characteristics&amp;Parameters'!$B$8,""))</f>
        <v/>
      </c>
      <c r="C985" s="8"/>
      <c r="E985" s="7" t="s">
        <v>25</v>
      </c>
      <c r="F985" s="8" t="s">
        <v>25</v>
      </c>
      <c r="I985" s="7" t="str">
        <f>IF(I984&lt;'Characteristics&amp;Parameters'!$B$17,ConcentrationsCalculations!I984+1,IF(I984="DS Node","",IF(I984="","","DS Node")))</f>
        <v/>
      </c>
      <c r="J985" s="13" t="str">
        <f>IF(I985="DS Node",'Characteristics&amp;Parameters'!$B$8,IF(I985&lt;='Characteristics&amp;Parameters'!$B$17,((1-'Characteristics&amp;Parameters'!$B$19)*ConcentrationsCalculations!F985+'Characteristics&amp;Parameters'!$B$19*ConcentrationsCalculations!F984-F985/86400*'Characteristics&amp;Parameters'!$B$11*'Characteristics&amp;Parameters'!$B$12),""))</f>
        <v/>
      </c>
    </row>
    <row r="986" spans="1:10" x14ac:dyDescent="0.5">
      <c r="A986" s="7" t="str">
        <f>IF(A985&lt;'Characteristics&amp;Parameters'!$B$17,ConcentrationsCalculations!A985+1,IF(A985="DS Node","",IF(A985="","","DS Node")))</f>
        <v/>
      </c>
      <c r="B986" s="8" t="str">
        <f>IF(A986&lt;='Characteristics&amp;Parameters'!$B$17,'Characteristics&amp;Parameters'!$B$7,IF(ConcentrationsCalculations!A986="DS Node",'Characteristics&amp;Parameters'!$B$8,""))</f>
        <v/>
      </c>
      <c r="C986" s="8"/>
      <c r="E986" s="7" t="s">
        <v>25</v>
      </c>
      <c r="F986" s="8" t="s">
        <v>25</v>
      </c>
      <c r="I986" s="7" t="str">
        <f>IF(I985&lt;'Characteristics&amp;Parameters'!$B$17,ConcentrationsCalculations!I985+1,IF(I985="DS Node","",IF(I985="","","DS Node")))</f>
        <v/>
      </c>
      <c r="J986" s="13" t="str">
        <f>IF(I986="DS Node",'Characteristics&amp;Parameters'!$B$8,IF(I986&lt;='Characteristics&amp;Parameters'!$B$17,((1-'Characteristics&amp;Parameters'!$B$19)*ConcentrationsCalculations!F986+'Characteristics&amp;Parameters'!$B$19*ConcentrationsCalculations!F985-F986/86400*'Characteristics&amp;Parameters'!$B$11*'Characteristics&amp;Parameters'!$B$12),""))</f>
        <v/>
      </c>
    </row>
    <row r="987" spans="1:10" x14ac:dyDescent="0.5">
      <c r="A987" s="7" t="str">
        <f>IF(A986&lt;'Characteristics&amp;Parameters'!$B$17,ConcentrationsCalculations!A986+1,IF(A986="DS Node","",IF(A986="","","DS Node")))</f>
        <v/>
      </c>
      <c r="B987" s="8" t="str">
        <f>IF(A987&lt;='Characteristics&amp;Parameters'!$B$17,'Characteristics&amp;Parameters'!$B$7,IF(ConcentrationsCalculations!A987="DS Node",'Characteristics&amp;Parameters'!$B$8,""))</f>
        <v/>
      </c>
      <c r="C987" s="8"/>
      <c r="E987" s="7" t="s">
        <v>25</v>
      </c>
      <c r="F987" s="8" t="s">
        <v>25</v>
      </c>
      <c r="I987" s="7" t="str">
        <f>IF(I986&lt;'Characteristics&amp;Parameters'!$B$17,ConcentrationsCalculations!I986+1,IF(I986="DS Node","",IF(I986="","","DS Node")))</f>
        <v/>
      </c>
      <c r="J987" s="13" t="str">
        <f>IF(I987="DS Node",'Characteristics&amp;Parameters'!$B$8,IF(I987&lt;='Characteristics&amp;Parameters'!$B$17,((1-'Characteristics&amp;Parameters'!$B$19)*ConcentrationsCalculations!F987+'Characteristics&amp;Parameters'!$B$19*ConcentrationsCalculations!F986-F987/86400*'Characteristics&amp;Parameters'!$B$11*'Characteristics&amp;Parameters'!$B$12),""))</f>
        <v/>
      </c>
    </row>
    <row r="988" spans="1:10" x14ac:dyDescent="0.5">
      <c r="A988" s="7" t="str">
        <f>IF(A987&lt;'Characteristics&amp;Parameters'!$B$17,ConcentrationsCalculations!A987+1,IF(A987="DS Node","",IF(A987="","","DS Node")))</f>
        <v/>
      </c>
      <c r="B988" s="8" t="str">
        <f>IF(A988&lt;='Characteristics&amp;Parameters'!$B$17,'Characteristics&amp;Parameters'!$B$7,IF(ConcentrationsCalculations!A988="DS Node",'Characteristics&amp;Parameters'!$B$8,""))</f>
        <v/>
      </c>
      <c r="C988" s="8"/>
      <c r="E988" s="7" t="s">
        <v>25</v>
      </c>
      <c r="F988" s="8" t="s">
        <v>25</v>
      </c>
      <c r="I988" s="7" t="str">
        <f>IF(I987&lt;'Characteristics&amp;Parameters'!$B$17,ConcentrationsCalculations!I987+1,IF(I987="DS Node","",IF(I987="","","DS Node")))</f>
        <v/>
      </c>
      <c r="J988" s="13" t="str">
        <f>IF(I988="DS Node",'Characteristics&amp;Parameters'!$B$8,IF(I988&lt;='Characteristics&amp;Parameters'!$B$17,((1-'Characteristics&amp;Parameters'!$B$19)*ConcentrationsCalculations!F988+'Characteristics&amp;Parameters'!$B$19*ConcentrationsCalculations!F987-F988/86400*'Characteristics&amp;Parameters'!$B$11*'Characteristics&amp;Parameters'!$B$12),""))</f>
        <v/>
      </c>
    </row>
    <row r="989" spans="1:10" x14ac:dyDescent="0.5">
      <c r="A989" s="7" t="str">
        <f>IF(A988&lt;'Characteristics&amp;Parameters'!$B$17,ConcentrationsCalculations!A988+1,IF(A988="DS Node","",IF(A988="","","DS Node")))</f>
        <v/>
      </c>
      <c r="B989" s="8" t="str">
        <f>IF(A989&lt;='Characteristics&amp;Parameters'!$B$17,'Characteristics&amp;Parameters'!$B$7,IF(ConcentrationsCalculations!A989="DS Node",'Characteristics&amp;Parameters'!$B$8,""))</f>
        <v/>
      </c>
      <c r="C989" s="8"/>
      <c r="E989" s="7" t="s">
        <v>25</v>
      </c>
      <c r="F989" s="8" t="s">
        <v>25</v>
      </c>
      <c r="I989" s="7" t="str">
        <f>IF(I988&lt;'Characteristics&amp;Parameters'!$B$17,ConcentrationsCalculations!I988+1,IF(I988="DS Node","",IF(I988="","","DS Node")))</f>
        <v/>
      </c>
      <c r="J989" s="13" t="str">
        <f>IF(I989="DS Node",'Characteristics&amp;Parameters'!$B$8,IF(I989&lt;='Characteristics&amp;Parameters'!$B$17,((1-'Characteristics&amp;Parameters'!$B$19)*ConcentrationsCalculations!F989+'Characteristics&amp;Parameters'!$B$19*ConcentrationsCalculations!F988-F989/86400*'Characteristics&amp;Parameters'!$B$11*'Characteristics&amp;Parameters'!$B$12),""))</f>
        <v/>
      </c>
    </row>
    <row r="990" spans="1:10" x14ac:dyDescent="0.5">
      <c r="A990" s="7" t="str">
        <f>IF(A989&lt;'Characteristics&amp;Parameters'!$B$17,ConcentrationsCalculations!A989+1,IF(A989="DS Node","",IF(A989="","","DS Node")))</f>
        <v/>
      </c>
      <c r="B990" s="8" t="str">
        <f>IF(A990&lt;='Characteristics&amp;Parameters'!$B$17,'Characteristics&amp;Parameters'!$B$7,IF(ConcentrationsCalculations!A990="DS Node",'Characteristics&amp;Parameters'!$B$8,""))</f>
        <v/>
      </c>
      <c r="C990" s="8"/>
      <c r="E990" s="7" t="s">
        <v>25</v>
      </c>
      <c r="F990" s="8" t="s">
        <v>25</v>
      </c>
      <c r="I990" s="7" t="str">
        <f>IF(I989&lt;'Characteristics&amp;Parameters'!$B$17,ConcentrationsCalculations!I989+1,IF(I989="DS Node","",IF(I989="","","DS Node")))</f>
        <v/>
      </c>
      <c r="J990" s="13" t="str">
        <f>IF(I990="DS Node",'Characteristics&amp;Parameters'!$B$8,IF(I990&lt;='Characteristics&amp;Parameters'!$B$17,((1-'Characteristics&amp;Parameters'!$B$19)*ConcentrationsCalculations!F990+'Characteristics&amp;Parameters'!$B$19*ConcentrationsCalculations!F989-F990/86400*'Characteristics&amp;Parameters'!$B$11*'Characteristics&amp;Parameters'!$B$12),""))</f>
        <v/>
      </c>
    </row>
    <row r="991" spans="1:10" x14ac:dyDescent="0.5">
      <c r="A991" s="7" t="str">
        <f>IF(A990&lt;'Characteristics&amp;Parameters'!$B$17,ConcentrationsCalculations!A990+1,IF(A990="DS Node","",IF(A990="","","DS Node")))</f>
        <v/>
      </c>
      <c r="B991" s="8" t="str">
        <f>IF(A991&lt;='Characteristics&amp;Parameters'!$B$17,'Characteristics&amp;Parameters'!$B$7,IF(ConcentrationsCalculations!A991="DS Node",'Characteristics&amp;Parameters'!$B$8,""))</f>
        <v/>
      </c>
      <c r="C991" s="8"/>
      <c r="E991" s="7" t="s">
        <v>25</v>
      </c>
      <c r="F991" s="8" t="s">
        <v>25</v>
      </c>
      <c r="I991" s="7" t="str">
        <f>IF(I990&lt;'Characteristics&amp;Parameters'!$B$17,ConcentrationsCalculations!I990+1,IF(I990="DS Node","",IF(I990="","","DS Node")))</f>
        <v/>
      </c>
      <c r="J991" s="13" t="str">
        <f>IF(I991="DS Node",'Characteristics&amp;Parameters'!$B$8,IF(I991&lt;='Characteristics&amp;Parameters'!$B$17,((1-'Characteristics&amp;Parameters'!$B$19)*ConcentrationsCalculations!F991+'Characteristics&amp;Parameters'!$B$19*ConcentrationsCalculations!F990-F991/86400*'Characteristics&amp;Parameters'!$B$11*'Characteristics&amp;Parameters'!$B$12),""))</f>
        <v/>
      </c>
    </row>
    <row r="992" spans="1:10" x14ac:dyDescent="0.5">
      <c r="A992" s="7" t="str">
        <f>IF(A991&lt;'Characteristics&amp;Parameters'!$B$17,ConcentrationsCalculations!A991+1,IF(A991="DS Node","",IF(A991="","","DS Node")))</f>
        <v/>
      </c>
      <c r="B992" s="8" t="str">
        <f>IF(A992&lt;='Characteristics&amp;Parameters'!$B$17,'Characteristics&amp;Parameters'!$B$7,IF(ConcentrationsCalculations!A992="DS Node",'Characteristics&amp;Parameters'!$B$8,""))</f>
        <v/>
      </c>
      <c r="C992" s="8"/>
      <c r="E992" s="7" t="s">
        <v>25</v>
      </c>
      <c r="F992" s="8" t="s">
        <v>25</v>
      </c>
      <c r="I992" s="7" t="str">
        <f>IF(I991&lt;'Characteristics&amp;Parameters'!$B$17,ConcentrationsCalculations!I991+1,IF(I991="DS Node","",IF(I991="","","DS Node")))</f>
        <v/>
      </c>
      <c r="J992" s="13" t="str">
        <f>IF(I992="DS Node",'Characteristics&amp;Parameters'!$B$8,IF(I992&lt;='Characteristics&amp;Parameters'!$B$17,((1-'Characteristics&amp;Parameters'!$B$19)*ConcentrationsCalculations!F992+'Characteristics&amp;Parameters'!$B$19*ConcentrationsCalculations!F991-F992/86400*'Characteristics&amp;Parameters'!$B$11*'Characteristics&amp;Parameters'!$B$12),""))</f>
        <v/>
      </c>
    </row>
    <row r="993" spans="1:10" x14ac:dyDescent="0.5">
      <c r="A993" s="7" t="str">
        <f>IF(A992&lt;'Characteristics&amp;Parameters'!$B$17,ConcentrationsCalculations!A992+1,IF(A992="DS Node","",IF(A992="","","DS Node")))</f>
        <v/>
      </c>
      <c r="B993" s="8" t="str">
        <f>IF(A993&lt;='Characteristics&amp;Parameters'!$B$17,'Characteristics&amp;Parameters'!$B$7,IF(ConcentrationsCalculations!A993="DS Node",'Characteristics&amp;Parameters'!$B$8,""))</f>
        <v/>
      </c>
      <c r="C993" s="8"/>
      <c r="E993" s="7" t="s">
        <v>25</v>
      </c>
      <c r="F993" s="8" t="s">
        <v>25</v>
      </c>
      <c r="I993" s="7" t="str">
        <f>IF(I992&lt;'Characteristics&amp;Parameters'!$B$17,ConcentrationsCalculations!I992+1,IF(I992="DS Node","",IF(I992="","","DS Node")))</f>
        <v/>
      </c>
      <c r="J993" s="13" t="str">
        <f>IF(I993="DS Node",'Characteristics&amp;Parameters'!$B$8,IF(I993&lt;='Characteristics&amp;Parameters'!$B$17,((1-'Characteristics&amp;Parameters'!$B$19)*ConcentrationsCalculations!F993+'Characteristics&amp;Parameters'!$B$19*ConcentrationsCalculations!F992-F993/86400*'Characteristics&amp;Parameters'!$B$11*'Characteristics&amp;Parameters'!$B$12),""))</f>
        <v/>
      </c>
    </row>
    <row r="994" spans="1:10" x14ac:dyDescent="0.5">
      <c r="A994" s="7" t="str">
        <f>IF(A993&lt;'Characteristics&amp;Parameters'!$B$17,ConcentrationsCalculations!A993+1,IF(A993="DS Node","",IF(A993="","","DS Node")))</f>
        <v/>
      </c>
      <c r="B994" s="8" t="str">
        <f>IF(A994&lt;='Characteristics&amp;Parameters'!$B$17,'Characteristics&amp;Parameters'!$B$7,IF(ConcentrationsCalculations!A994="DS Node",'Characteristics&amp;Parameters'!$B$8,""))</f>
        <v/>
      </c>
      <c r="C994" s="8"/>
      <c r="E994" s="7" t="s">
        <v>25</v>
      </c>
      <c r="F994" s="8" t="s">
        <v>25</v>
      </c>
      <c r="I994" s="7" t="str">
        <f>IF(I993&lt;'Characteristics&amp;Parameters'!$B$17,ConcentrationsCalculations!I993+1,IF(I993="DS Node","",IF(I993="","","DS Node")))</f>
        <v/>
      </c>
      <c r="J994" s="13" t="str">
        <f>IF(I994="DS Node",'Characteristics&amp;Parameters'!$B$8,IF(I994&lt;='Characteristics&amp;Parameters'!$B$17,((1-'Characteristics&amp;Parameters'!$B$19)*ConcentrationsCalculations!F994+'Characteristics&amp;Parameters'!$B$19*ConcentrationsCalculations!F993-F994/86400*'Characteristics&amp;Parameters'!$B$11*'Characteristics&amp;Parameters'!$B$12),""))</f>
        <v/>
      </c>
    </row>
    <row r="995" spans="1:10" x14ac:dyDescent="0.5">
      <c r="A995" s="7" t="str">
        <f>IF(A994&lt;'Characteristics&amp;Parameters'!$B$17,ConcentrationsCalculations!A994+1,IF(A994="DS Node","",IF(A994="","","DS Node")))</f>
        <v/>
      </c>
      <c r="B995" s="8" t="str">
        <f>IF(A995&lt;='Characteristics&amp;Parameters'!$B$17,'Characteristics&amp;Parameters'!$B$7,IF(ConcentrationsCalculations!A995="DS Node",'Characteristics&amp;Parameters'!$B$8,""))</f>
        <v/>
      </c>
      <c r="C995" s="8"/>
      <c r="E995" s="7" t="s">
        <v>25</v>
      </c>
      <c r="F995" s="8" t="s">
        <v>25</v>
      </c>
      <c r="I995" s="7" t="str">
        <f>IF(I994&lt;'Characteristics&amp;Parameters'!$B$17,ConcentrationsCalculations!I994+1,IF(I994="DS Node","",IF(I994="","","DS Node")))</f>
        <v/>
      </c>
      <c r="J995" s="13" t="str">
        <f>IF(I995="DS Node",'Characteristics&amp;Parameters'!$B$8,IF(I995&lt;='Characteristics&amp;Parameters'!$B$17,((1-'Characteristics&amp;Parameters'!$B$19)*ConcentrationsCalculations!F995+'Characteristics&amp;Parameters'!$B$19*ConcentrationsCalculations!F994-F995/86400*'Characteristics&amp;Parameters'!$B$11*'Characteristics&amp;Parameters'!$B$12),""))</f>
        <v/>
      </c>
    </row>
    <row r="996" spans="1:10" x14ac:dyDescent="0.5">
      <c r="A996" s="7" t="str">
        <f>IF(A995&lt;'Characteristics&amp;Parameters'!$B$17,ConcentrationsCalculations!A995+1,IF(A995="DS Node","",IF(A995="","","DS Node")))</f>
        <v/>
      </c>
      <c r="B996" s="8" t="str">
        <f>IF(A996&lt;='Characteristics&amp;Parameters'!$B$17,'Characteristics&amp;Parameters'!$B$7,IF(ConcentrationsCalculations!A996="DS Node",'Characteristics&amp;Parameters'!$B$8,""))</f>
        <v/>
      </c>
      <c r="C996" s="8"/>
      <c r="E996" s="7" t="s">
        <v>25</v>
      </c>
      <c r="F996" s="8" t="s">
        <v>25</v>
      </c>
      <c r="I996" s="7" t="str">
        <f>IF(I995&lt;'Characteristics&amp;Parameters'!$B$17,ConcentrationsCalculations!I995+1,IF(I995="DS Node","",IF(I995="","","DS Node")))</f>
        <v/>
      </c>
      <c r="J996" s="13" t="str">
        <f>IF(I996="DS Node",'Characteristics&amp;Parameters'!$B$8,IF(I996&lt;='Characteristics&amp;Parameters'!$B$17,((1-'Characteristics&amp;Parameters'!$B$19)*ConcentrationsCalculations!F996+'Characteristics&amp;Parameters'!$B$19*ConcentrationsCalculations!F995-F996/86400*'Characteristics&amp;Parameters'!$B$11*'Characteristics&amp;Parameters'!$B$12),""))</f>
        <v/>
      </c>
    </row>
    <row r="997" spans="1:10" x14ac:dyDescent="0.5">
      <c r="A997" s="7" t="str">
        <f>IF(A996&lt;'Characteristics&amp;Parameters'!$B$17,ConcentrationsCalculations!A996+1,IF(A996="DS Node","",IF(A996="","","DS Node")))</f>
        <v/>
      </c>
      <c r="B997" s="8" t="str">
        <f>IF(A997&lt;='Characteristics&amp;Parameters'!$B$17,'Characteristics&amp;Parameters'!$B$7,IF(ConcentrationsCalculations!A997="DS Node",'Characteristics&amp;Parameters'!$B$8,""))</f>
        <v/>
      </c>
      <c r="C997" s="8"/>
      <c r="E997" s="7" t="s">
        <v>25</v>
      </c>
      <c r="F997" s="8" t="s">
        <v>25</v>
      </c>
      <c r="I997" s="7" t="str">
        <f>IF(I996&lt;'Characteristics&amp;Parameters'!$B$17,ConcentrationsCalculations!I996+1,IF(I996="DS Node","",IF(I996="","","DS Node")))</f>
        <v/>
      </c>
      <c r="J997" s="13" t="str">
        <f>IF(I997="DS Node",'Characteristics&amp;Parameters'!$B$8,IF(I997&lt;='Characteristics&amp;Parameters'!$B$17,((1-'Characteristics&amp;Parameters'!$B$19)*ConcentrationsCalculations!F997+'Characteristics&amp;Parameters'!$B$19*ConcentrationsCalculations!F996-F997/86400*'Characteristics&amp;Parameters'!$B$11*'Characteristics&amp;Parameters'!$B$12),""))</f>
        <v/>
      </c>
    </row>
    <row r="998" spans="1:10" x14ac:dyDescent="0.5">
      <c r="A998" s="7" t="str">
        <f>IF(A997&lt;'Characteristics&amp;Parameters'!$B$17,ConcentrationsCalculations!A997+1,IF(A997="DS Node","",IF(A997="","","DS Node")))</f>
        <v/>
      </c>
      <c r="B998" s="8" t="str">
        <f>IF(A998&lt;='Characteristics&amp;Parameters'!$B$17,'Characteristics&amp;Parameters'!$B$7,IF(ConcentrationsCalculations!A998="DS Node",'Characteristics&amp;Parameters'!$B$8,""))</f>
        <v/>
      </c>
      <c r="C998" s="8"/>
      <c r="E998" s="7" t="s">
        <v>25</v>
      </c>
      <c r="F998" s="8" t="s">
        <v>25</v>
      </c>
      <c r="I998" s="7" t="str">
        <f>IF(I997&lt;'Characteristics&amp;Parameters'!$B$17,ConcentrationsCalculations!I997+1,IF(I997="DS Node","",IF(I997="","","DS Node")))</f>
        <v/>
      </c>
      <c r="J998" s="13" t="str">
        <f>IF(I998="DS Node",'Characteristics&amp;Parameters'!$B$8,IF(I998&lt;='Characteristics&amp;Parameters'!$B$17,((1-'Characteristics&amp;Parameters'!$B$19)*ConcentrationsCalculations!F998+'Characteristics&amp;Parameters'!$B$19*ConcentrationsCalculations!F997-F998/86400*'Characteristics&amp;Parameters'!$B$11*'Characteristics&amp;Parameters'!$B$12),""))</f>
        <v/>
      </c>
    </row>
    <row r="999" spans="1:10" x14ac:dyDescent="0.5">
      <c r="A999" s="7" t="str">
        <f>IF(A998&lt;'Characteristics&amp;Parameters'!$B$17,ConcentrationsCalculations!A998+1,IF(A998="DS Node","",IF(A998="","","DS Node")))</f>
        <v/>
      </c>
      <c r="B999" s="8" t="str">
        <f>IF(A999&lt;='Characteristics&amp;Parameters'!$B$17,'Characteristics&amp;Parameters'!$B$7,IF(ConcentrationsCalculations!A999="DS Node",'Characteristics&amp;Parameters'!$B$8,""))</f>
        <v/>
      </c>
      <c r="C999" s="8"/>
      <c r="E999" s="7" t="s">
        <v>25</v>
      </c>
      <c r="F999" s="8" t="s">
        <v>25</v>
      </c>
      <c r="I999" s="7" t="str">
        <f>IF(I998&lt;'Characteristics&amp;Parameters'!$B$17,ConcentrationsCalculations!I998+1,IF(I998="DS Node","",IF(I998="","","DS Node")))</f>
        <v/>
      </c>
      <c r="J999" s="13" t="str">
        <f>IF(I999="DS Node",'Characteristics&amp;Parameters'!$B$8,IF(I999&lt;='Characteristics&amp;Parameters'!$B$17,((1-'Characteristics&amp;Parameters'!$B$19)*ConcentrationsCalculations!F999+'Characteristics&amp;Parameters'!$B$19*ConcentrationsCalculations!F998-F999/86400*'Characteristics&amp;Parameters'!$B$11*'Characteristics&amp;Parameters'!$B$12),""))</f>
        <v/>
      </c>
    </row>
    <row r="1000" spans="1:10" x14ac:dyDescent="0.5">
      <c r="A1000" s="7" t="str">
        <f>IF(A999&lt;'Characteristics&amp;Parameters'!$B$17,ConcentrationsCalculations!A999+1,IF(A999="DS Node","",IF(A999="","","DS Node")))</f>
        <v/>
      </c>
      <c r="B1000" s="8" t="str">
        <f>IF(A1000&lt;='Characteristics&amp;Parameters'!$B$17,'Characteristics&amp;Parameters'!$B$7,IF(ConcentrationsCalculations!A1000="DS Node",'Characteristics&amp;Parameters'!$B$8,""))</f>
        <v/>
      </c>
      <c r="C1000" s="8"/>
      <c r="E1000" s="7" t="s">
        <v>25</v>
      </c>
      <c r="F1000" s="8" t="s">
        <v>25</v>
      </c>
      <c r="I1000" s="7" t="str">
        <f>IF(I999&lt;'Characteristics&amp;Parameters'!$B$17,ConcentrationsCalculations!I999+1,IF(I999="DS Node","",IF(I999="","","DS Node")))</f>
        <v/>
      </c>
      <c r="J1000" s="13" t="str">
        <f>IF(I1000="DS Node",'Characteristics&amp;Parameters'!$B$8,IF(I1000&lt;='Characteristics&amp;Parameters'!$B$17,((1-'Characteristics&amp;Parameters'!$B$19)*ConcentrationsCalculations!F1000+'Characteristics&amp;Parameters'!$B$19*ConcentrationsCalculations!F999-F1000/86400*'Characteristics&amp;Parameters'!$B$11*'Characteristics&amp;Parameters'!$B$12),""))</f>
        <v/>
      </c>
    </row>
    <row r="1001" spans="1:10" x14ac:dyDescent="0.5">
      <c r="A1001" s="7" t="str">
        <f>IF(A1000&lt;'Characteristics&amp;Parameters'!$B$17,ConcentrationsCalculations!A1000+1,IF(A1000="DS Node","",IF(A1000="","","DS Node")))</f>
        <v/>
      </c>
      <c r="B1001" s="8" t="str">
        <f>IF(A1001&lt;='Characteristics&amp;Parameters'!$B$17,'Characteristics&amp;Parameters'!$B$7,IF(ConcentrationsCalculations!A1001="DS Node",'Characteristics&amp;Parameters'!$B$8,""))</f>
        <v/>
      </c>
      <c r="C1001" s="8"/>
      <c r="E1001" s="7" t="s">
        <v>25</v>
      </c>
      <c r="F1001" s="8" t="s">
        <v>25</v>
      </c>
      <c r="I1001" s="7" t="str">
        <f>IF(I1000&lt;'Characteristics&amp;Parameters'!$B$17,ConcentrationsCalculations!I1000+1,IF(I1000="DS Node","",IF(I1000="","","DS Node")))</f>
        <v/>
      </c>
      <c r="J1001" s="13" t="str">
        <f>IF(I1001="DS Node",'Characteristics&amp;Parameters'!$B$8,IF(I1001&lt;='Characteristics&amp;Parameters'!$B$17,((1-'Characteristics&amp;Parameters'!$B$19)*ConcentrationsCalculations!F1001+'Characteristics&amp;Parameters'!$B$19*ConcentrationsCalculations!F1000-F1001/86400*'Characteristics&amp;Parameters'!$B$11*'Characteristics&amp;Parameters'!$B$12),""))</f>
        <v/>
      </c>
    </row>
    <row r="1002" spans="1:10" x14ac:dyDescent="0.5">
      <c r="A1002" s="7" t="str">
        <f>IF(A1001&lt;'Characteristics&amp;Parameters'!$B$17,ConcentrationsCalculations!A1001+1,IF(A1001="DS Node","",IF(A1001="","","DS Node")))</f>
        <v/>
      </c>
      <c r="B1002" s="8" t="str">
        <f>IF(A1002&lt;='Characteristics&amp;Parameters'!$B$17,'Characteristics&amp;Parameters'!$B$7,IF(ConcentrationsCalculations!A1002="DS Node",'Characteristics&amp;Parameters'!$B$8,""))</f>
        <v/>
      </c>
      <c r="C1002" s="8"/>
      <c r="E1002" s="7" t="s">
        <v>25</v>
      </c>
      <c r="F1002" s="8" t="s">
        <v>25</v>
      </c>
      <c r="I1002" s="7" t="str">
        <f>IF(I1001&lt;'Characteristics&amp;Parameters'!$B$17,ConcentrationsCalculations!I1001+1,IF(I1001="DS Node","",IF(I1001="","","DS Node")))</f>
        <v/>
      </c>
      <c r="J1002" s="13" t="str">
        <f>IF(I1002="DS Node",'Characteristics&amp;Parameters'!$B$8,IF(I1002&lt;='Characteristics&amp;Parameters'!$B$17,((1-'Characteristics&amp;Parameters'!$B$19)*ConcentrationsCalculations!F1002+'Characteristics&amp;Parameters'!$B$19*ConcentrationsCalculations!F1001-F1002/86400*'Characteristics&amp;Parameters'!$B$11*'Characteristics&amp;Parameters'!$B$12),""))</f>
        <v/>
      </c>
    </row>
    <row r="1003" spans="1:10" x14ac:dyDescent="0.5">
      <c r="A1003" s="7" t="str">
        <f>IF(A1002&lt;'Characteristics&amp;Parameters'!$B$17,ConcentrationsCalculations!A1002+1,IF(A1002="DS Node","",IF(A1002="","","DS Node")))</f>
        <v/>
      </c>
      <c r="B1003" s="8" t="str">
        <f>IF(A1003&lt;='Characteristics&amp;Parameters'!$B$17,'Characteristics&amp;Parameters'!$B$7,IF(ConcentrationsCalculations!A1003="DS Node",'Characteristics&amp;Parameters'!$B$8,""))</f>
        <v/>
      </c>
      <c r="C1003" s="8"/>
      <c r="E1003" s="7" t="s">
        <v>25</v>
      </c>
      <c r="F1003" s="8" t="s">
        <v>25</v>
      </c>
      <c r="I1003" s="7" t="str">
        <f>IF(I1002&lt;'Characteristics&amp;Parameters'!$B$17,ConcentrationsCalculations!I1002+1,IF(I1002="DS Node","",IF(I1002="","","DS Node")))</f>
        <v/>
      </c>
      <c r="J1003" s="13" t="str">
        <f>IF(I1003="DS Node",'Characteristics&amp;Parameters'!$B$8,IF(I1003&lt;='Characteristics&amp;Parameters'!$B$17,((1-'Characteristics&amp;Parameters'!$B$19)*ConcentrationsCalculations!F1003+'Characteristics&amp;Parameters'!$B$19*ConcentrationsCalculations!F1002-F1003/86400*'Characteristics&amp;Parameters'!$B$11*'Characteristics&amp;Parameters'!$B$12),""))</f>
        <v/>
      </c>
    </row>
    <row r="1004" spans="1:10" x14ac:dyDescent="0.5">
      <c r="A1004" s="7" t="str">
        <f>IF(A1003&lt;'Characteristics&amp;Parameters'!$B$17,ConcentrationsCalculations!A1003+1,IF(A1003="DS Node","",IF(A1003="","","DS Node")))</f>
        <v/>
      </c>
      <c r="B1004" s="8" t="str">
        <f>IF(A1004&lt;='Characteristics&amp;Parameters'!$B$17,'Characteristics&amp;Parameters'!$B$7,IF(ConcentrationsCalculations!A1004="DS Node",'Characteristics&amp;Parameters'!$B$8,""))</f>
        <v/>
      </c>
      <c r="C1004" s="8"/>
      <c r="E1004" s="7" t="s">
        <v>25</v>
      </c>
      <c r="F1004" s="8" t="s">
        <v>25</v>
      </c>
      <c r="I1004" s="7" t="str">
        <f>IF(I1003&lt;'Characteristics&amp;Parameters'!$B$17,ConcentrationsCalculations!I1003+1,IF(I1003="DS Node","",IF(I1003="","","DS Node")))</f>
        <v/>
      </c>
      <c r="J1004" s="13" t="str">
        <f>IF(I1004="DS Node",'Characteristics&amp;Parameters'!$B$8,IF(I1004&lt;='Characteristics&amp;Parameters'!$B$17,((1-'Characteristics&amp;Parameters'!$B$19)*ConcentrationsCalculations!F1004+'Characteristics&amp;Parameters'!$B$19*ConcentrationsCalculations!F1003-F1004/86400*'Characteristics&amp;Parameters'!$B$11*'Characteristics&amp;Parameters'!$B$12),""))</f>
        <v/>
      </c>
    </row>
    <row r="1005" spans="1:10" x14ac:dyDescent="0.5">
      <c r="A1005" s="7" t="str">
        <f>IF(A1004&lt;'Characteristics&amp;Parameters'!$B$17,ConcentrationsCalculations!A1004+1,IF(A1004="DS Node","",IF(A1004="","","DS Node")))</f>
        <v/>
      </c>
      <c r="B1005" s="8" t="str">
        <f>IF(A1005&lt;='Characteristics&amp;Parameters'!$B$17,'Characteristics&amp;Parameters'!$B$7,IF(ConcentrationsCalculations!A1005="DS Node",'Characteristics&amp;Parameters'!$B$8,""))</f>
        <v/>
      </c>
      <c r="C1005" s="8"/>
      <c r="E1005" s="7" t="s">
        <v>25</v>
      </c>
      <c r="F1005" s="8" t="s">
        <v>25</v>
      </c>
      <c r="I1005" s="7" t="str">
        <f>IF(I1004&lt;'Characteristics&amp;Parameters'!$B$17,ConcentrationsCalculations!I1004+1,IF(I1004="DS Node","",IF(I1004="","","DS Node")))</f>
        <v/>
      </c>
      <c r="J1005" s="13" t="str">
        <f>IF(I1005="DS Node",'Characteristics&amp;Parameters'!$B$8,IF(I1005&lt;='Characteristics&amp;Parameters'!$B$17,((1-'Characteristics&amp;Parameters'!$B$19)*ConcentrationsCalculations!F1005+'Characteristics&amp;Parameters'!$B$19*ConcentrationsCalculations!F1004-F1005/86400*'Characteristics&amp;Parameters'!$B$11*'Characteristics&amp;Parameters'!$B$12),""))</f>
        <v/>
      </c>
    </row>
    <row r="1006" spans="1:10" x14ac:dyDescent="0.5">
      <c r="A1006" s="7" t="str">
        <f>IF(A1005&lt;'Characteristics&amp;Parameters'!$B$17,ConcentrationsCalculations!A1005+1,IF(A1005="DS Node","",IF(A1005="","","DS Node")))</f>
        <v/>
      </c>
      <c r="B1006" s="8" t="str">
        <f>IF(A1006&lt;='Characteristics&amp;Parameters'!$B$17,'Characteristics&amp;Parameters'!$B$7,IF(ConcentrationsCalculations!A1006="DS Node",'Characteristics&amp;Parameters'!$B$8,""))</f>
        <v/>
      </c>
      <c r="C1006" s="8"/>
      <c r="E1006" s="7" t="s">
        <v>25</v>
      </c>
      <c r="F1006" s="8" t="s">
        <v>25</v>
      </c>
      <c r="I1006" s="7" t="str">
        <f>IF(I1005&lt;'Characteristics&amp;Parameters'!$B$17,ConcentrationsCalculations!I1005+1,IF(I1005="DS Node","",IF(I1005="","","DS Node")))</f>
        <v/>
      </c>
      <c r="J1006" s="13" t="str">
        <f>IF(I1006="DS Node",'Characteristics&amp;Parameters'!$B$8,IF(I1006&lt;='Characteristics&amp;Parameters'!$B$17,((1-'Characteristics&amp;Parameters'!$B$19)*ConcentrationsCalculations!F1006+'Characteristics&amp;Parameters'!$B$19*ConcentrationsCalculations!F1005-F1006/86400*'Characteristics&amp;Parameters'!$B$11*'Characteristics&amp;Parameters'!$B$12),""))</f>
        <v/>
      </c>
    </row>
    <row r="1007" spans="1:10" x14ac:dyDescent="0.5">
      <c r="A1007" s="7" t="str">
        <f>IF(A1006&lt;'Characteristics&amp;Parameters'!$B$17,ConcentrationsCalculations!A1006+1,IF(A1006="DS Node","",IF(A1006="","","DS Node")))</f>
        <v/>
      </c>
      <c r="B1007" s="8" t="str">
        <f>IF(A1007&lt;='Characteristics&amp;Parameters'!$B$17,'Characteristics&amp;Parameters'!$B$7,IF(ConcentrationsCalculations!A1007="DS Node",'Characteristics&amp;Parameters'!$B$8,""))</f>
        <v/>
      </c>
      <c r="C1007" s="8"/>
      <c r="E1007" s="7" t="s">
        <v>25</v>
      </c>
      <c r="F1007" s="8" t="s">
        <v>25</v>
      </c>
      <c r="I1007" s="7" t="str">
        <f>IF(I1006&lt;'Characteristics&amp;Parameters'!$B$17,ConcentrationsCalculations!I1006+1,IF(I1006="DS Node","",IF(I1006="","","DS Node")))</f>
        <v/>
      </c>
      <c r="J1007" s="13" t="str">
        <f>IF(I1007="DS Node",'Characteristics&amp;Parameters'!$B$8,IF(I1007&lt;='Characteristics&amp;Parameters'!$B$17,((1-'Characteristics&amp;Parameters'!$B$19)*ConcentrationsCalculations!F1007+'Characteristics&amp;Parameters'!$B$19*ConcentrationsCalculations!F1006-F1007/86400*'Characteristics&amp;Parameters'!$B$11*'Characteristics&amp;Parameters'!$B$12),""))</f>
        <v/>
      </c>
    </row>
    <row r="1008" spans="1:10" x14ac:dyDescent="0.5">
      <c r="A1008" s="7" t="str">
        <f>IF(A1007&lt;'Characteristics&amp;Parameters'!$B$17,ConcentrationsCalculations!A1007+1,IF(A1007="DS Node","",IF(A1007="","","DS Node")))</f>
        <v/>
      </c>
      <c r="B1008" s="8" t="str">
        <f>IF(A1008&lt;='Characteristics&amp;Parameters'!$B$17,'Characteristics&amp;Parameters'!$B$7,IF(ConcentrationsCalculations!A1008="DS Node",'Characteristics&amp;Parameters'!$B$8,""))</f>
        <v/>
      </c>
      <c r="C1008" s="8"/>
      <c r="E1008" s="7" t="s">
        <v>25</v>
      </c>
      <c r="F1008" s="8" t="s">
        <v>25</v>
      </c>
      <c r="I1008" s="7" t="str">
        <f>IF(I1007&lt;'Characteristics&amp;Parameters'!$B$17,ConcentrationsCalculations!I1007+1,IF(I1007="DS Node","",IF(I1007="","","DS Node")))</f>
        <v/>
      </c>
      <c r="J1008" s="13" t="str">
        <f>IF(I1008="DS Node",'Characteristics&amp;Parameters'!$B$8,IF(I1008&lt;='Characteristics&amp;Parameters'!$B$17,((1-'Characteristics&amp;Parameters'!$B$19)*ConcentrationsCalculations!F1008+'Characteristics&amp;Parameters'!$B$19*ConcentrationsCalculations!F1007-F1008/86400*'Characteristics&amp;Parameters'!$B$11*'Characteristics&amp;Parameters'!$B$12),""))</f>
        <v/>
      </c>
    </row>
    <row r="1009" spans="1:10" x14ac:dyDescent="0.5">
      <c r="A1009" s="7" t="str">
        <f>IF(A1008&lt;'Characteristics&amp;Parameters'!$B$17,ConcentrationsCalculations!A1008+1,IF(A1008="DS Node","",IF(A1008="","","DS Node")))</f>
        <v/>
      </c>
      <c r="B1009" s="8" t="str">
        <f>IF(A1009&lt;='Characteristics&amp;Parameters'!$B$17,'Characteristics&amp;Parameters'!$B$7,IF(ConcentrationsCalculations!A1009="DS Node",'Characteristics&amp;Parameters'!$B$8,""))</f>
        <v/>
      </c>
      <c r="C1009" s="8"/>
      <c r="E1009" s="7" t="s">
        <v>25</v>
      </c>
      <c r="F1009" s="8" t="s">
        <v>25</v>
      </c>
      <c r="I1009" s="7" t="str">
        <f>IF(I1008&lt;'Characteristics&amp;Parameters'!$B$17,ConcentrationsCalculations!I1008+1,IF(I1008="DS Node","",IF(I1008="","","DS Node")))</f>
        <v/>
      </c>
      <c r="J1009" s="13" t="str">
        <f>IF(I1009="DS Node",'Characteristics&amp;Parameters'!$B$8,IF(I1009&lt;='Characteristics&amp;Parameters'!$B$17,((1-'Characteristics&amp;Parameters'!$B$19)*ConcentrationsCalculations!F1009+'Characteristics&amp;Parameters'!$B$19*ConcentrationsCalculations!F1008-F1009/86400*'Characteristics&amp;Parameters'!$B$11*'Characteristics&amp;Parameters'!$B$12),""))</f>
        <v/>
      </c>
    </row>
    <row r="1010" spans="1:10" x14ac:dyDescent="0.5">
      <c r="A1010" s="7" t="str">
        <f>IF(A1009&lt;'Characteristics&amp;Parameters'!$B$17,ConcentrationsCalculations!A1009+1,IF(A1009="DS Node","",IF(A1009="","","DS Node")))</f>
        <v/>
      </c>
      <c r="B1010" s="8" t="str">
        <f>IF(A1010&lt;='Characteristics&amp;Parameters'!$B$17,'Characteristics&amp;Parameters'!$B$7,IF(ConcentrationsCalculations!A1010="DS Node",'Characteristics&amp;Parameters'!$B$8,""))</f>
        <v/>
      </c>
      <c r="C1010" s="8"/>
      <c r="E1010" s="7" t="s">
        <v>25</v>
      </c>
      <c r="F1010" s="8" t="s">
        <v>25</v>
      </c>
      <c r="I1010" s="7" t="str">
        <f>IF(I1009&lt;'Characteristics&amp;Parameters'!$B$17,ConcentrationsCalculations!I1009+1,IF(I1009="DS Node","",IF(I1009="","","DS Node")))</f>
        <v/>
      </c>
      <c r="J1010" s="13" t="str">
        <f>IF(I1010="DS Node",'Characteristics&amp;Parameters'!$B$8,IF(I1010&lt;='Characteristics&amp;Parameters'!$B$17,((1-'Characteristics&amp;Parameters'!$B$19)*ConcentrationsCalculations!F1010+'Characteristics&amp;Parameters'!$B$19*ConcentrationsCalculations!F1009-F1010/86400*'Characteristics&amp;Parameters'!$B$11*'Characteristics&amp;Parameters'!$B$12),""))</f>
        <v/>
      </c>
    </row>
    <row r="1011" spans="1:10" x14ac:dyDescent="0.5">
      <c r="A1011" s="7" t="str">
        <f>IF(A1010&lt;'Characteristics&amp;Parameters'!$B$17,ConcentrationsCalculations!A1010+1,IF(A1010="DS Node","",IF(A1010="","","DS Node")))</f>
        <v/>
      </c>
      <c r="B1011" s="8" t="str">
        <f>IF(A1011&lt;='Characteristics&amp;Parameters'!$B$17,'Characteristics&amp;Parameters'!$B$7,IF(ConcentrationsCalculations!A1011="DS Node",'Characteristics&amp;Parameters'!$B$8,""))</f>
        <v/>
      </c>
      <c r="C1011" s="8"/>
      <c r="E1011" s="7" t="s">
        <v>25</v>
      </c>
      <c r="F1011" s="8" t="s">
        <v>25</v>
      </c>
      <c r="I1011" s="7" t="str">
        <f>IF(I1010&lt;'Characteristics&amp;Parameters'!$B$17,ConcentrationsCalculations!I1010+1,IF(I1010="DS Node","",IF(I1010="","","DS Node")))</f>
        <v/>
      </c>
      <c r="J1011" s="13" t="str">
        <f>IF(I1011="DS Node",'Characteristics&amp;Parameters'!$B$8,IF(I1011&lt;='Characteristics&amp;Parameters'!$B$17,((1-'Characteristics&amp;Parameters'!$B$19)*ConcentrationsCalculations!F1011+'Characteristics&amp;Parameters'!$B$19*ConcentrationsCalculations!F1010-F1011/86400*'Characteristics&amp;Parameters'!$B$11*'Characteristics&amp;Parameters'!$B$12),""))</f>
        <v/>
      </c>
    </row>
    <row r="1012" spans="1:10" x14ac:dyDescent="0.5">
      <c r="A1012" s="7" t="str">
        <f>IF(A1011&lt;'Characteristics&amp;Parameters'!$B$17,ConcentrationsCalculations!A1011+1,IF(A1011="DS Node","",IF(A1011="","","DS Node")))</f>
        <v/>
      </c>
      <c r="B1012" s="8" t="str">
        <f>IF(A1012&lt;='Characteristics&amp;Parameters'!$B$17,'Characteristics&amp;Parameters'!$B$7,IF(ConcentrationsCalculations!A1012="DS Node",'Characteristics&amp;Parameters'!$B$8,""))</f>
        <v/>
      </c>
      <c r="C1012" s="8"/>
      <c r="E1012" s="7" t="s">
        <v>25</v>
      </c>
      <c r="F1012" s="8" t="s">
        <v>25</v>
      </c>
      <c r="I1012" s="7" t="str">
        <f>IF(I1011&lt;'Characteristics&amp;Parameters'!$B$17,ConcentrationsCalculations!I1011+1,IF(I1011="DS Node","",IF(I1011="","","DS Node")))</f>
        <v/>
      </c>
      <c r="J1012" s="13" t="str">
        <f>IF(I1012="DS Node",'Characteristics&amp;Parameters'!$B$8,IF(I1012&lt;='Characteristics&amp;Parameters'!$B$17,((1-'Characteristics&amp;Parameters'!$B$19)*ConcentrationsCalculations!F1012+'Characteristics&amp;Parameters'!$B$19*ConcentrationsCalculations!F1011-F1012/86400*'Characteristics&amp;Parameters'!$B$11*'Characteristics&amp;Parameters'!$B$12),""))</f>
        <v/>
      </c>
    </row>
    <row r="1013" spans="1:10" x14ac:dyDescent="0.5">
      <c r="A1013" s="7" t="str">
        <f>IF(A1012&lt;'Characteristics&amp;Parameters'!$B$17,ConcentrationsCalculations!A1012+1,IF(A1012="DS Node","",IF(A1012="","","DS Node")))</f>
        <v/>
      </c>
      <c r="B1013" s="8" t="str">
        <f>IF(A1013&lt;='Characteristics&amp;Parameters'!$B$17,'Characteristics&amp;Parameters'!$B$7,IF(ConcentrationsCalculations!A1013="DS Node",'Characteristics&amp;Parameters'!$B$8,""))</f>
        <v/>
      </c>
      <c r="C1013" s="8"/>
      <c r="E1013" s="7" t="s">
        <v>25</v>
      </c>
      <c r="F1013" s="8" t="s">
        <v>25</v>
      </c>
      <c r="I1013" s="7" t="str">
        <f>IF(I1012&lt;'Characteristics&amp;Parameters'!$B$17,ConcentrationsCalculations!I1012+1,IF(I1012="DS Node","",IF(I1012="","","DS Node")))</f>
        <v/>
      </c>
      <c r="J1013" s="13" t="str">
        <f>IF(I1013="DS Node",'Characteristics&amp;Parameters'!$B$8,IF(I1013&lt;='Characteristics&amp;Parameters'!$B$17,((1-'Characteristics&amp;Parameters'!$B$19)*ConcentrationsCalculations!F1013+'Characteristics&amp;Parameters'!$B$19*ConcentrationsCalculations!F1012-F1013/86400*'Characteristics&amp;Parameters'!$B$11*'Characteristics&amp;Parameters'!$B$12),""))</f>
        <v/>
      </c>
    </row>
    <row r="1014" spans="1:10" x14ac:dyDescent="0.5">
      <c r="A1014" s="7" t="str">
        <f>IF(A1013&lt;'Characteristics&amp;Parameters'!$B$17,ConcentrationsCalculations!A1013+1,IF(A1013="DS Node","",IF(A1013="","","DS Node")))</f>
        <v/>
      </c>
      <c r="B1014" s="8" t="str">
        <f>IF(A1014&lt;='Characteristics&amp;Parameters'!$B$17,'Characteristics&amp;Parameters'!$B$7,IF(ConcentrationsCalculations!A1014="DS Node",'Characteristics&amp;Parameters'!$B$8,""))</f>
        <v/>
      </c>
      <c r="C1014" s="8"/>
      <c r="E1014" s="7" t="s">
        <v>25</v>
      </c>
      <c r="F1014" s="8" t="s">
        <v>25</v>
      </c>
      <c r="I1014" s="7" t="str">
        <f>IF(I1013&lt;'Characteristics&amp;Parameters'!$B$17,ConcentrationsCalculations!I1013+1,IF(I1013="DS Node","",IF(I1013="","","DS Node")))</f>
        <v/>
      </c>
      <c r="J1014" s="13" t="str">
        <f>IF(I1014="DS Node",'Characteristics&amp;Parameters'!$B$8,IF(I1014&lt;='Characteristics&amp;Parameters'!$B$17,((1-'Characteristics&amp;Parameters'!$B$19)*ConcentrationsCalculations!F1014+'Characteristics&amp;Parameters'!$B$19*ConcentrationsCalculations!F1013-F1014/86400*'Characteristics&amp;Parameters'!$B$11*'Characteristics&amp;Parameters'!$B$12),""))</f>
        <v/>
      </c>
    </row>
    <row r="1015" spans="1:10" x14ac:dyDescent="0.5">
      <c r="A1015" s="7" t="str">
        <f>IF(A1014&lt;'Characteristics&amp;Parameters'!$B$17,ConcentrationsCalculations!A1014+1,IF(A1014="DS Node","",IF(A1014="","","DS Node")))</f>
        <v/>
      </c>
      <c r="B1015" s="8" t="str">
        <f>IF(A1015&lt;='Characteristics&amp;Parameters'!$B$17,'Characteristics&amp;Parameters'!$B$7,IF(ConcentrationsCalculations!A1015="DS Node",'Characteristics&amp;Parameters'!$B$8,""))</f>
        <v/>
      </c>
      <c r="C1015" s="8"/>
      <c r="E1015" s="7" t="s">
        <v>25</v>
      </c>
      <c r="F1015" s="8" t="s">
        <v>25</v>
      </c>
      <c r="I1015" s="7" t="str">
        <f>IF(I1014&lt;'Characteristics&amp;Parameters'!$B$17,ConcentrationsCalculations!I1014+1,IF(I1014="DS Node","",IF(I1014="","","DS Node")))</f>
        <v/>
      </c>
      <c r="J1015" s="13" t="str">
        <f>IF(I1015="DS Node",'Characteristics&amp;Parameters'!$B$8,IF(I1015&lt;='Characteristics&amp;Parameters'!$B$17,((1-'Characteristics&amp;Parameters'!$B$19)*ConcentrationsCalculations!F1015+'Characteristics&amp;Parameters'!$B$19*ConcentrationsCalculations!F1014-F1015/86400*'Characteristics&amp;Parameters'!$B$11*'Characteristics&amp;Parameters'!$B$12),""))</f>
        <v/>
      </c>
    </row>
    <row r="1016" spans="1:10" x14ac:dyDescent="0.5">
      <c r="A1016" s="7" t="str">
        <f>IF(A1015&lt;'Characteristics&amp;Parameters'!$B$17,ConcentrationsCalculations!A1015+1,IF(A1015="DS Node","",IF(A1015="","","DS Node")))</f>
        <v/>
      </c>
      <c r="B1016" s="8" t="str">
        <f>IF(A1016&lt;='Characteristics&amp;Parameters'!$B$17,'Characteristics&amp;Parameters'!$B$7,IF(ConcentrationsCalculations!A1016="DS Node",'Characteristics&amp;Parameters'!$B$8,""))</f>
        <v/>
      </c>
      <c r="C1016" s="8"/>
      <c r="E1016" s="7" t="s">
        <v>25</v>
      </c>
      <c r="F1016" s="8" t="s">
        <v>25</v>
      </c>
      <c r="I1016" s="7" t="str">
        <f>IF(I1015&lt;'Characteristics&amp;Parameters'!$B$17,ConcentrationsCalculations!I1015+1,IF(I1015="DS Node","",IF(I1015="","","DS Node")))</f>
        <v/>
      </c>
      <c r="J1016" s="13" t="str">
        <f>IF(I1016="DS Node",'Characteristics&amp;Parameters'!$B$8,IF(I1016&lt;='Characteristics&amp;Parameters'!$B$17,((1-'Characteristics&amp;Parameters'!$B$19)*ConcentrationsCalculations!F1016+'Characteristics&amp;Parameters'!$B$19*ConcentrationsCalculations!F1015-F1016/86400*'Characteristics&amp;Parameters'!$B$11*'Characteristics&amp;Parameters'!$B$12),""))</f>
        <v/>
      </c>
    </row>
    <row r="1017" spans="1:10" x14ac:dyDescent="0.5">
      <c r="A1017" s="7" t="str">
        <f>IF(A1016&lt;'Characteristics&amp;Parameters'!$B$17,ConcentrationsCalculations!A1016+1,IF(A1016="DS Node","",IF(A1016="","","DS Node")))</f>
        <v/>
      </c>
      <c r="B1017" s="8" t="str">
        <f>IF(A1017&lt;='Characteristics&amp;Parameters'!$B$17,'Characteristics&amp;Parameters'!$B$7,IF(ConcentrationsCalculations!A1017="DS Node",'Characteristics&amp;Parameters'!$B$8,""))</f>
        <v/>
      </c>
      <c r="C1017" s="8"/>
      <c r="E1017" s="7" t="s">
        <v>25</v>
      </c>
      <c r="F1017" s="8" t="s">
        <v>25</v>
      </c>
      <c r="I1017" s="7" t="str">
        <f>IF(I1016&lt;'Characteristics&amp;Parameters'!$B$17,ConcentrationsCalculations!I1016+1,IF(I1016="DS Node","",IF(I1016="","","DS Node")))</f>
        <v/>
      </c>
      <c r="J1017" s="13" t="str">
        <f>IF(I1017="DS Node",'Characteristics&amp;Parameters'!$B$8,IF(I1017&lt;='Characteristics&amp;Parameters'!$B$17,((1-'Characteristics&amp;Parameters'!$B$19)*ConcentrationsCalculations!F1017+'Characteristics&amp;Parameters'!$B$19*ConcentrationsCalculations!F1016-F1017/86400*'Characteristics&amp;Parameters'!$B$11*'Characteristics&amp;Parameters'!$B$12),""))</f>
        <v/>
      </c>
    </row>
    <row r="1018" spans="1:10" x14ac:dyDescent="0.5">
      <c r="A1018" s="7" t="str">
        <f>IF(A1017&lt;'Characteristics&amp;Parameters'!$B$17,ConcentrationsCalculations!A1017+1,IF(A1017="DS Node","",IF(A1017="","","DS Node")))</f>
        <v/>
      </c>
      <c r="B1018" s="8" t="str">
        <f>IF(A1018&lt;='Characteristics&amp;Parameters'!$B$17,'Characteristics&amp;Parameters'!$B$7,IF(ConcentrationsCalculations!A1018="DS Node",'Characteristics&amp;Parameters'!$B$8,""))</f>
        <v/>
      </c>
      <c r="C1018" s="8"/>
      <c r="E1018" s="7" t="s">
        <v>25</v>
      </c>
      <c r="F1018" s="8" t="s">
        <v>25</v>
      </c>
      <c r="I1018" s="7" t="str">
        <f>IF(I1017&lt;'Characteristics&amp;Parameters'!$B$17,ConcentrationsCalculations!I1017+1,IF(I1017="DS Node","",IF(I1017="","","DS Node")))</f>
        <v/>
      </c>
      <c r="J1018" s="13" t="str">
        <f>IF(I1018="DS Node",'Characteristics&amp;Parameters'!$B$8,IF(I1018&lt;='Characteristics&amp;Parameters'!$B$17,((1-'Characteristics&amp;Parameters'!$B$19)*ConcentrationsCalculations!F1018+'Characteristics&amp;Parameters'!$B$19*ConcentrationsCalculations!F1017-F1018/86400*'Characteristics&amp;Parameters'!$B$11*'Characteristics&amp;Parameters'!$B$12),""))</f>
        <v/>
      </c>
    </row>
    <row r="1019" spans="1:10" x14ac:dyDescent="0.5">
      <c r="A1019" s="7" t="str">
        <f>IF(A1018&lt;'Characteristics&amp;Parameters'!$B$17,ConcentrationsCalculations!A1018+1,IF(A1018="DS Node","",IF(A1018="","","DS Node")))</f>
        <v/>
      </c>
      <c r="B1019" s="8" t="str">
        <f>IF(A1019&lt;='Characteristics&amp;Parameters'!$B$17,'Characteristics&amp;Parameters'!$B$7,IF(ConcentrationsCalculations!A1019="DS Node",'Characteristics&amp;Parameters'!$B$8,""))</f>
        <v/>
      </c>
      <c r="C1019" s="8"/>
      <c r="E1019" s="7" t="s">
        <v>25</v>
      </c>
      <c r="F1019" s="8" t="s">
        <v>25</v>
      </c>
      <c r="I1019" s="7" t="str">
        <f>IF(I1018&lt;'Characteristics&amp;Parameters'!$B$17,ConcentrationsCalculations!I1018+1,IF(I1018="DS Node","",IF(I1018="","","DS Node")))</f>
        <v/>
      </c>
      <c r="J1019" s="13" t="str">
        <f>IF(I1019="DS Node",'Characteristics&amp;Parameters'!$B$8,IF(I1019&lt;='Characteristics&amp;Parameters'!$B$17,((1-'Characteristics&amp;Parameters'!$B$19)*ConcentrationsCalculations!F1019+'Characteristics&amp;Parameters'!$B$19*ConcentrationsCalculations!F1018-F1019/86400*'Characteristics&amp;Parameters'!$B$11*'Characteristics&amp;Parameters'!$B$12),""))</f>
        <v/>
      </c>
    </row>
    <row r="1020" spans="1:10" x14ac:dyDescent="0.5">
      <c r="A1020" s="7" t="str">
        <f>IF(A1019&lt;'Characteristics&amp;Parameters'!$B$17,ConcentrationsCalculations!A1019+1,IF(A1019="DS Node","",IF(A1019="","","DS Node")))</f>
        <v/>
      </c>
      <c r="B1020" s="8" t="str">
        <f>IF(A1020&lt;='Characteristics&amp;Parameters'!$B$17,'Characteristics&amp;Parameters'!$B$7,IF(ConcentrationsCalculations!A1020="DS Node",'Characteristics&amp;Parameters'!$B$8,""))</f>
        <v/>
      </c>
      <c r="C1020" s="8"/>
      <c r="E1020" s="7" t="s">
        <v>25</v>
      </c>
      <c r="F1020" s="8" t="s">
        <v>25</v>
      </c>
      <c r="I1020" s="7" t="str">
        <f>IF(I1019&lt;'Characteristics&amp;Parameters'!$B$17,ConcentrationsCalculations!I1019+1,IF(I1019="DS Node","",IF(I1019="","","DS Node")))</f>
        <v/>
      </c>
      <c r="J1020" s="13" t="str">
        <f>IF(I1020="DS Node",'Characteristics&amp;Parameters'!$B$8,IF(I1020&lt;='Characteristics&amp;Parameters'!$B$17,((1-'Characteristics&amp;Parameters'!$B$19)*ConcentrationsCalculations!F1020+'Characteristics&amp;Parameters'!$B$19*ConcentrationsCalculations!F1019-F1020/86400*'Characteristics&amp;Parameters'!$B$11*'Characteristics&amp;Parameters'!$B$12),""))</f>
        <v/>
      </c>
    </row>
    <row r="1021" spans="1:10" x14ac:dyDescent="0.5">
      <c r="A1021" s="7" t="str">
        <f>IF(A1020&lt;'Characteristics&amp;Parameters'!$B$17,ConcentrationsCalculations!A1020+1,IF(A1020="DS Node","",IF(A1020="","","DS Node")))</f>
        <v/>
      </c>
      <c r="B1021" s="8" t="str">
        <f>IF(A1021&lt;='Characteristics&amp;Parameters'!$B$17,'Characteristics&amp;Parameters'!$B$7,IF(ConcentrationsCalculations!A1021="DS Node",'Characteristics&amp;Parameters'!$B$8,""))</f>
        <v/>
      </c>
      <c r="C1021" s="8"/>
      <c r="E1021" s="7" t="s">
        <v>25</v>
      </c>
      <c r="F1021" s="8" t="s">
        <v>25</v>
      </c>
      <c r="I1021" s="7" t="str">
        <f>IF(I1020&lt;'Characteristics&amp;Parameters'!$B$17,ConcentrationsCalculations!I1020+1,IF(I1020="DS Node","",IF(I1020="","","DS Node")))</f>
        <v/>
      </c>
      <c r="J1021" s="13" t="str">
        <f>IF(I1021="DS Node",'Characteristics&amp;Parameters'!$B$8,IF(I1021&lt;='Characteristics&amp;Parameters'!$B$17,((1-'Characteristics&amp;Parameters'!$B$19)*ConcentrationsCalculations!F1021+'Characteristics&amp;Parameters'!$B$19*ConcentrationsCalculations!F1020-F1021/86400*'Characteristics&amp;Parameters'!$B$11*'Characteristics&amp;Parameters'!$B$12),""))</f>
        <v/>
      </c>
    </row>
    <row r="1022" spans="1:10" x14ac:dyDescent="0.5">
      <c r="A1022" s="7" t="str">
        <f>IF(A1021&lt;'Characteristics&amp;Parameters'!$B$17,ConcentrationsCalculations!A1021+1,IF(A1021="DS Node","",IF(A1021="","","DS Node")))</f>
        <v/>
      </c>
      <c r="B1022" s="8" t="str">
        <f>IF(A1022&lt;='Characteristics&amp;Parameters'!$B$17,'Characteristics&amp;Parameters'!$B$7,IF(ConcentrationsCalculations!A1022="DS Node",'Characteristics&amp;Parameters'!$B$8,""))</f>
        <v/>
      </c>
      <c r="C1022" s="8"/>
      <c r="E1022" s="7" t="s">
        <v>25</v>
      </c>
      <c r="F1022" s="8" t="s">
        <v>25</v>
      </c>
      <c r="I1022" s="7" t="str">
        <f>IF(I1021&lt;'Characteristics&amp;Parameters'!$B$17,ConcentrationsCalculations!I1021+1,IF(I1021="DS Node","",IF(I1021="","","DS Node")))</f>
        <v/>
      </c>
      <c r="J1022" s="13" t="str">
        <f>IF(I1022="DS Node",'Characteristics&amp;Parameters'!$B$8,IF(I1022&lt;='Characteristics&amp;Parameters'!$B$17,((1-'Characteristics&amp;Parameters'!$B$19)*ConcentrationsCalculations!F1022+'Characteristics&amp;Parameters'!$B$19*ConcentrationsCalculations!F1021-F1022/86400*'Characteristics&amp;Parameters'!$B$11*'Characteristics&amp;Parameters'!$B$12),""))</f>
        <v/>
      </c>
    </row>
    <row r="1023" spans="1:10" x14ac:dyDescent="0.5">
      <c r="A1023" s="7" t="str">
        <f>IF(A1022&lt;'Characteristics&amp;Parameters'!$B$17,ConcentrationsCalculations!A1022+1,IF(A1022="DS Node","",IF(A1022="","","DS Node")))</f>
        <v/>
      </c>
      <c r="B1023" s="8" t="str">
        <f>IF(A1023&lt;='Characteristics&amp;Parameters'!$B$17,'Characteristics&amp;Parameters'!$B$7,IF(ConcentrationsCalculations!A1023="DS Node",'Characteristics&amp;Parameters'!$B$8,""))</f>
        <v/>
      </c>
      <c r="C1023" s="8"/>
      <c r="E1023" s="7" t="s">
        <v>25</v>
      </c>
      <c r="F1023" s="8" t="s">
        <v>25</v>
      </c>
      <c r="I1023" s="7" t="str">
        <f>IF(I1022&lt;'Characteristics&amp;Parameters'!$B$17,ConcentrationsCalculations!I1022+1,IF(I1022="DS Node","",IF(I1022="","","DS Node")))</f>
        <v/>
      </c>
      <c r="J1023" s="13" t="str">
        <f>IF(I1023="DS Node",'Characteristics&amp;Parameters'!$B$8,IF(I1023&lt;='Characteristics&amp;Parameters'!$B$17,((1-'Characteristics&amp;Parameters'!$B$19)*ConcentrationsCalculations!F1023+'Characteristics&amp;Parameters'!$B$19*ConcentrationsCalculations!F1022-F1023/86400*'Characteristics&amp;Parameters'!$B$11*'Characteristics&amp;Parameters'!$B$12),""))</f>
        <v/>
      </c>
    </row>
    <row r="1024" spans="1:10" x14ac:dyDescent="0.5">
      <c r="A1024" s="7" t="str">
        <f>IF(A1023&lt;'Characteristics&amp;Parameters'!$B$17,ConcentrationsCalculations!A1023+1,IF(A1023="DS Node","",IF(A1023="","","DS Node")))</f>
        <v/>
      </c>
      <c r="B1024" s="8" t="str">
        <f>IF(A1024&lt;='Characteristics&amp;Parameters'!$B$17,'Characteristics&amp;Parameters'!$B$7,IF(ConcentrationsCalculations!A1024="DS Node",'Characteristics&amp;Parameters'!$B$8,""))</f>
        <v/>
      </c>
      <c r="C1024" s="8"/>
      <c r="E1024" s="7" t="s">
        <v>25</v>
      </c>
      <c r="F1024" s="8" t="s">
        <v>25</v>
      </c>
      <c r="I1024" s="7" t="str">
        <f>IF(I1023&lt;'Characteristics&amp;Parameters'!$B$17,ConcentrationsCalculations!I1023+1,IF(I1023="DS Node","",IF(I1023="","","DS Node")))</f>
        <v/>
      </c>
      <c r="J1024" s="13" t="str">
        <f>IF(I1024="DS Node",'Characteristics&amp;Parameters'!$B$8,IF(I1024&lt;='Characteristics&amp;Parameters'!$B$17,((1-'Characteristics&amp;Parameters'!$B$19)*ConcentrationsCalculations!F1024+'Characteristics&amp;Parameters'!$B$19*ConcentrationsCalculations!F1023-F1024/86400*'Characteristics&amp;Parameters'!$B$11*'Characteristics&amp;Parameters'!$B$12),""))</f>
        <v/>
      </c>
    </row>
    <row r="1025" spans="1:10" x14ac:dyDescent="0.5">
      <c r="A1025" s="7" t="str">
        <f>IF(A1024&lt;'Characteristics&amp;Parameters'!$B$17,ConcentrationsCalculations!A1024+1,IF(A1024="DS Node","",IF(A1024="","","DS Node")))</f>
        <v/>
      </c>
      <c r="B1025" s="8" t="str">
        <f>IF(A1025&lt;='Characteristics&amp;Parameters'!$B$17,'Characteristics&amp;Parameters'!$B$7,IF(ConcentrationsCalculations!A1025="DS Node",'Characteristics&amp;Parameters'!$B$8,""))</f>
        <v/>
      </c>
      <c r="C1025" s="8"/>
      <c r="E1025" s="7" t="s">
        <v>25</v>
      </c>
      <c r="F1025" s="8" t="s">
        <v>25</v>
      </c>
      <c r="I1025" s="7" t="str">
        <f>IF(I1024&lt;'Characteristics&amp;Parameters'!$B$17,ConcentrationsCalculations!I1024+1,IF(I1024="DS Node","",IF(I1024="","","DS Node")))</f>
        <v/>
      </c>
      <c r="J1025" s="13" t="str">
        <f>IF(I1025="DS Node",'Characteristics&amp;Parameters'!$B$8,IF(I1025&lt;='Characteristics&amp;Parameters'!$B$17,((1-'Characteristics&amp;Parameters'!$B$19)*ConcentrationsCalculations!F1025+'Characteristics&amp;Parameters'!$B$19*ConcentrationsCalculations!F1024-F1025/86400*'Characteristics&amp;Parameters'!$B$11*'Characteristics&amp;Parameters'!$B$12),""))</f>
        <v/>
      </c>
    </row>
    <row r="1026" spans="1:10" x14ac:dyDescent="0.5">
      <c r="A1026" s="7" t="str">
        <f>IF(A1025&lt;'Characteristics&amp;Parameters'!$B$17,ConcentrationsCalculations!A1025+1,IF(A1025="DS Node","",IF(A1025="","","DS Node")))</f>
        <v/>
      </c>
      <c r="B1026" s="8" t="str">
        <f>IF(A1026&lt;='Characteristics&amp;Parameters'!$B$17,'Characteristics&amp;Parameters'!$B$7,IF(ConcentrationsCalculations!A1026="DS Node",'Characteristics&amp;Parameters'!$B$8,""))</f>
        <v/>
      </c>
      <c r="C1026" s="8"/>
      <c r="E1026" s="7" t="s">
        <v>25</v>
      </c>
      <c r="F1026" s="8" t="s">
        <v>25</v>
      </c>
      <c r="I1026" s="7" t="str">
        <f>IF(I1025&lt;'Characteristics&amp;Parameters'!$B$17,ConcentrationsCalculations!I1025+1,IF(I1025="DS Node","",IF(I1025="","","DS Node")))</f>
        <v/>
      </c>
      <c r="J1026" s="13" t="str">
        <f>IF(I1026="DS Node",'Characteristics&amp;Parameters'!$B$8,IF(I1026&lt;='Characteristics&amp;Parameters'!$B$17,((1-'Characteristics&amp;Parameters'!$B$19)*ConcentrationsCalculations!F1026+'Characteristics&amp;Parameters'!$B$19*ConcentrationsCalculations!F1025-F1026/86400*'Characteristics&amp;Parameters'!$B$11*'Characteristics&amp;Parameters'!$B$12),""))</f>
        <v/>
      </c>
    </row>
    <row r="1027" spans="1:10" x14ac:dyDescent="0.5">
      <c r="A1027" s="7" t="str">
        <f>IF(A1026&lt;'Characteristics&amp;Parameters'!$B$17,ConcentrationsCalculations!A1026+1,IF(A1026="DS Node","",IF(A1026="","","DS Node")))</f>
        <v/>
      </c>
      <c r="B1027" s="8" t="str">
        <f>IF(A1027&lt;='Characteristics&amp;Parameters'!$B$17,'Characteristics&amp;Parameters'!$B$7,IF(ConcentrationsCalculations!A1027="DS Node",'Characteristics&amp;Parameters'!$B$8,""))</f>
        <v/>
      </c>
      <c r="C1027" s="8"/>
      <c r="E1027" s="7" t="s">
        <v>25</v>
      </c>
      <c r="F1027" s="8" t="s">
        <v>25</v>
      </c>
      <c r="I1027" s="7" t="str">
        <f>IF(I1026&lt;'Characteristics&amp;Parameters'!$B$17,ConcentrationsCalculations!I1026+1,IF(I1026="DS Node","",IF(I1026="","","DS Node")))</f>
        <v/>
      </c>
      <c r="J1027" s="13" t="str">
        <f>IF(I1027="DS Node",'Characteristics&amp;Parameters'!$B$8,IF(I1027&lt;='Characteristics&amp;Parameters'!$B$17,((1-'Characteristics&amp;Parameters'!$B$19)*ConcentrationsCalculations!F1027+'Characteristics&amp;Parameters'!$B$19*ConcentrationsCalculations!F1026-F1027/86400*'Characteristics&amp;Parameters'!$B$11*'Characteristics&amp;Parameters'!$B$12),""))</f>
        <v/>
      </c>
    </row>
    <row r="1028" spans="1:10" x14ac:dyDescent="0.5">
      <c r="A1028" s="7" t="str">
        <f>IF(A1027&lt;'Characteristics&amp;Parameters'!$B$17,ConcentrationsCalculations!A1027+1,IF(A1027="DS Node","",IF(A1027="","","DS Node")))</f>
        <v/>
      </c>
      <c r="B1028" s="8" t="str">
        <f>IF(A1028&lt;='Characteristics&amp;Parameters'!$B$17,'Characteristics&amp;Parameters'!$B$7,IF(ConcentrationsCalculations!A1028="DS Node",'Characteristics&amp;Parameters'!$B$8,""))</f>
        <v/>
      </c>
      <c r="C1028" s="8"/>
      <c r="E1028" s="7" t="s">
        <v>25</v>
      </c>
      <c r="F1028" s="8" t="s">
        <v>25</v>
      </c>
      <c r="I1028" s="7" t="str">
        <f>IF(I1027&lt;'Characteristics&amp;Parameters'!$B$17,ConcentrationsCalculations!I1027+1,IF(I1027="DS Node","",IF(I1027="","","DS Node")))</f>
        <v/>
      </c>
      <c r="J1028" s="13" t="str">
        <f>IF(I1028="DS Node",'Characteristics&amp;Parameters'!$B$8,IF(I1028&lt;='Characteristics&amp;Parameters'!$B$17,((1-'Characteristics&amp;Parameters'!$B$19)*ConcentrationsCalculations!F1028+'Characteristics&amp;Parameters'!$B$19*ConcentrationsCalculations!F1027-F1028/86400*'Characteristics&amp;Parameters'!$B$11*'Characteristics&amp;Parameters'!$B$12),""))</f>
        <v/>
      </c>
    </row>
    <row r="1029" spans="1:10" x14ac:dyDescent="0.5">
      <c r="A1029" s="7" t="str">
        <f>IF(A1028&lt;'Characteristics&amp;Parameters'!$B$17,ConcentrationsCalculations!A1028+1,IF(A1028="DS Node","",IF(A1028="","","DS Node")))</f>
        <v/>
      </c>
      <c r="B1029" s="8" t="str">
        <f>IF(A1029&lt;='Characteristics&amp;Parameters'!$B$17,'Characteristics&amp;Parameters'!$B$7,IF(ConcentrationsCalculations!A1029="DS Node",'Characteristics&amp;Parameters'!$B$8,""))</f>
        <v/>
      </c>
      <c r="C1029" s="8"/>
      <c r="E1029" s="7" t="s">
        <v>25</v>
      </c>
      <c r="F1029" s="8" t="s">
        <v>25</v>
      </c>
      <c r="I1029" s="7" t="str">
        <f>IF(I1028&lt;'Characteristics&amp;Parameters'!$B$17,ConcentrationsCalculations!I1028+1,IF(I1028="DS Node","",IF(I1028="","","DS Node")))</f>
        <v/>
      </c>
      <c r="J1029" s="13" t="str">
        <f>IF(I1029="DS Node",'Characteristics&amp;Parameters'!$B$8,IF(I1029&lt;='Characteristics&amp;Parameters'!$B$17,((1-'Characteristics&amp;Parameters'!$B$19)*ConcentrationsCalculations!F1029+'Characteristics&amp;Parameters'!$B$19*ConcentrationsCalculations!F1028-F1029/86400*'Characteristics&amp;Parameters'!$B$11*'Characteristics&amp;Parameters'!$B$12),""))</f>
        <v/>
      </c>
    </row>
    <row r="1030" spans="1:10" x14ac:dyDescent="0.5">
      <c r="A1030" s="7" t="str">
        <f>IF(A1029&lt;'Characteristics&amp;Parameters'!$B$17,ConcentrationsCalculations!A1029+1,IF(A1029="DS Node","",IF(A1029="","","DS Node")))</f>
        <v/>
      </c>
      <c r="B1030" s="8" t="str">
        <f>IF(A1030&lt;='Characteristics&amp;Parameters'!$B$17,'Characteristics&amp;Parameters'!$B$7,IF(ConcentrationsCalculations!A1030="DS Node",'Characteristics&amp;Parameters'!$B$8,""))</f>
        <v/>
      </c>
      <c r="C1030" s="8"/>
      <c r="E1030" s="7" t="s">
        <v>25</v>
      </c>
      <c r="F1030" s="8" t="s">
        <v>25</v>
      </c>
      <c r="I1030" s="7" t="str">
        <f>IF(I1029&lt;'Characteristics&amp;Parameters'!$B$17,ConcentrationsCalculations!I1029+1,IF(I1029="DS Node","",IF(I1029="","","DS Node")))</f>
        <v/>
      </c>
      <c r="J1030" s="13" t="str">
        <f>IF(I1030="DS Node",'Characteristics&amp;Parameters'!$B$8,IF(I1030&lt;='Characteristics&amp;Parameters'!$B$17,((1-'Characteristics&amp;Parameters'!$B$19)*ConcentrationsCalculations!F1030+'Characteristics&amp;Parameters'!$B$19*ConcentrationsCalculations!F1029-F1030/86400*'Characteristics&amp;Parameters'!$B$11*'Characteristics&amp;Parameters'!$B$12),""))</f>
        <v/>
      </c>
    </row>
    <row r="1031" spans="1:10" x14ac:dyDescent="0.5">
      <c r="A1031" s="7" t="str">
        <f>IF(A1030&lt;'Characteristics&amp;Parameters'!$B$17,ConcentrationsCalculations!A1030+1,IF(A1030="DS Node","",IF(A1030="","","DS Node")))</f>
        <v/>
      </c>
      <c r="B1031" s="8" t="str">
        <f>IF(A1031&lt;='Characteristics&amp;Parameters'!$B$17,'Characteristics&amp;Parameters'!$B$7,IF(ConcentrationsCalculations!A1031="DS Node",'Characteristics&amp;Parameters'!$B$8,""))</f>
        <v/>
      </c>
      <c r="C1031" s="8"/>
      <c r="E1031" s="7" t="s">
        <v>25</v>
      </c>
      <c r="F1031" s="8" t="s">
        <v>25</v>
      </c>
      <c r="I1031" s="7" t="str">
        <f>IF(I1030&lt;'Characteristics&amp;Parameters'!$B$17,ConcentrationsCalculations!I1030+1,IF(I1030="DS Node","",IF(I1030="","","DS Node")))</f>
        <v/>
      </c>
      <c r="J1031" s="13" t="str">
        <f>IF(I1031="DS Node",'Characteristics&amp;Parameters'!$B$8,IF(I1031&lt;='Characteristics&amp;Parameters'!$B$17,((1-'Characteristics&amp;Parameters'!$B$19)*ConcentrationsCalculations!F1031+'Characteristics&amp;Parameters'!$B$19*ConcentrationsCalculations!F1030-F1031/86400*'Characteristics&amp;Parameters'!$B$11*'Characteristics&amp;Parameters'!$B$12),""))</f>
        <v/>
      </c>
    </row>
    <row r="1032" spans="1:10" x14ac:dyDescent="0.5">
      <c r="A1032" s="7" t="str">
        <f>IF(A1031&lt;'Characteristics&amp;Parameters'!$B$17,ConcentrationsCalculations!A1031+1,IF(A1031="DS Node","",IF(A1031="","","DS Node")))</f>
        <v/>
      </c>
      <c r="B1032" s="8" t="str">
        <f>IF(A1032&lt;='Characteristics&amp;Parameters'!$B$17,'Characteristics&amp;Parameters'!$B$7,IF(ConcentrationsCalculations!A1032="DS Node",'Characteristics&amp;Parameters'!$B$8,""))</f>
        <v/>
      </c>
      <c r="C1032" s="8"/>
      <c r="E1032" s="7" t="s">
        <v>25</v>
      </c>
      <c r="F1032" s="8" t="s">
        <v>25</v>
      </c>
      <c r="I1032" s="7" t="str">
        <f>IF(I1031&lt;'Characteristics&amp;Parameters'!$B$17,ConcentrationsCalculations!I1031+1,IF(I1031="DS Node","",IF(I1031="","","DS Node")))</f>
        <v/>
      </c>
      <c r="J1032" s="13" t="str">
        <f>IF(I1032="DS Node",'Characteristics&amp;Parameters'!$B$8,IF(I1032&lt;='Characteristics&amp;Parameters'!$B$17,((1-'Characteristics&amp;Parameters'!$B$19)*ConcentrationsCalculations!F1032+'Characteristics&amp;Parameters'!$B$19*ConcentrationsCalculations!F1031-F1032/86400*'Characteristics&amp;Parameters'!$B$11*'Characteristics&amp;Parameters'!$B$12),""))</f>
        <v/>
      </c>
    </row>
    <row r="1033" spans="1:10" x14ac:dyDescent="0.5">
      <c r="A1033" s="7" t="str">
        <f>IF(A1032&lt;'Characteristics&amp;Parameters'!$B$17,ConcentrationsCalculations!A1032+1,IF(A1032="DS Node","",IF(A1032="","","DS Node")))</f>
        <v/>
      </c>
      <c r="B1033" s="8" t="str">
        <f>IF(A1033&lt;='Characteristics&amp;Parameters'!$B$17,'Characteristics&amp;Parameters'!$B$7,IF(ConcentrationsCalculations!A1033="DS Node",'Characteristics&amp;Parameters'!$B$8,""))</f>
        <v/>
      </c>
      <c r="C1033" s="8"/>
      <c r="E1033" s="7" t="s">
        <v>25</v>
      </c>
      <c r="F1033" s="8" t="s">
        <v>25</v>
      </c>
      <c r="I1033" s="7" t="str">
        <f>IF(I1032&lt;'Characteristics&amp;Parameters'!$B$17,ConcentrationsCalculations!I1032+1,IF(I1032="DS Node","",IF(I1032="","","DS Node")))</f>
        <v/>
      </c>
      <c r="J1033" s="13" t="str">
        <f>IF(I1033="DS Node",'Characteristics&amp;Parameters'!$B$8,IF(I1033&lt;='Characteristics&amp;Parameters'!$B$17,((1-'Characteristics&amp;Parameters'!$B$19)*ConcentrationsCalculations!F1033+'Characteristics&amp;Parameters'!$B$19*ConcentrationsCalculations!F1032-F1033/86400*'Characteristics&amp;Parameters'!$B$11*'Characteristics&amp;Parameters'!$B$12),""))</f>
        <v/>
      </c>
    </row>
    <row r="1034" spans="1:10" x14ac:dyDescent="0.5">
      <c r="A1034" s="7" t="str">
        <f>IF(A1033&lt;'Characteristics&amp;Parameters'!$B$17,ConcentrationsCalculations!A1033+1,IF(A1033="DS Node","",IF(A1033="","","DS Node")))</f>
        <v/>
      </c>
      <c r="B1034" s="8" t="str">
        <f>IF(A1034&lt;='Characteristics&amp;Parameters'!$B$17,'Characteristics&amp;Parameters'!$B$7,IF(ConcentrationsCalculations!A1034="DS Node",'Characteristics&amp;Parameters'!$B$8,""))</f>
        <v/>
      </c>
      <c r="C1034" s="8"/>
      <c r="E1034" s="7" t="s">
        <v>25</v>
      </c>
      <c r="F1034" s="8" t="s">
        <v>25</v>
      </c>
      <c r="I1034" s="7" t="str">
        <f>IF(I1033&lt;'Characteristics&amp;Parameters'!$B$17,ConcentrationsCalculations!I1033+1,IF(I1033="DS Node","",IF(I1033="","","DS Node")))</f>
        <v/>
      </c>
      <c r="J1034" s="13" t="str">
        <f>IF(I1034="DS Node",'Characteristics&amp;Parameters'!$B$8,IF(I1034&lt;='Characteristics&amp;Parameters'!$B$17,((1-'Characteristics&amp;Parameters'!$B$19)*ConcentrationsCalculations!F1034+'Characteristics&amp;Parameters'!$B$19*ConcentrationsCalculations!F1033-F1034/86400*'Characteristics&amp;Parameters'!$B$11*'Characteristics&amp;Parameters'!$B$12),""))</f>
        <v/>
      </c>
    </row>
    <row r="1035" spans="1:10" x14ac:dyDescent="0.5">
      <c r="A1035" s="7" t="str">
        <f>IF(A1034&lt;'Characteristics&amp;Parameters'!$B$17,ConcentrationsCalculations!A1034+1,IF(A1034="DS Node","",IF(A1034="","","DS Node")))</f>
        <v/>
      </c>
      <c r="B1035" s="8" t="str">
        <f>IF(A1035&lt;='Characteristics&amp;Parameters'!$B$17,'Characteristics&amp;Parameters'!$B$7,IF(ConcentrationsCalculations!A1035="DS Node",'Characteristics&amp;Parameters'!$B$8,""))</f>
        <v/>
      </c>
      <c r="C1035" s="8"/>
      <c r="E1035" s="7" t="s">
        <v>25</v>
      </c>
      <c r="F1035" s="8" t="s">
        <v>25</v>
      </c>
      <c r="I1035" s="7" t="str">
        <f>IF(I1034&lt;'Characteristics&amp;Parameters'!$B$17,ConcentrationsCalculations!I1034+1,IF(I1034="DS Node","",IF(I1034="","","DS Node")))</f>
        <v/>
      </c>
      <c r="J1035" s="13" t="str">
        <f>IF(I1035="DS Node",'Characteristics&amp;Parameters'!$B$8,IF(I1035&lt;='Characteristics&amp;Parameters'!$B$17,((1-'Characteristics&amp;Parameters'!$B$19)*ConcentrationsCalculations!F1035+'Characteristics&amp;Parameters'!$B$19*ConcentrationsCalculations!F1034-F1035/86400*'Characteristics&amp;Parameters'!$B$11*'Characteristics&amp;Parameters'!$B$12),""))</f>
        <v/>
      </c>
    </row>
    <row r="1036" spans="1:10" x14ac:dyDescent="0.5">
      <c r="A1036" s="7" t="str">
        <f>IF(A1035&lt;'Characteristics&amp;Parameters'!$B$17,ConcentrationsCalculations!A1035+1,IF(A1035="DS Node","",IF(A1035="","","DS Node")))</f>
        <v/>
      </c>
      <c r="B1036" s="8" t="str">
        <f>IF(A1036&lt;='Characteristics&amp;Parameters'!$B$17,'Characteristics&amp;Parameters'!$B$7,IF(ConcentrationsCalculations!A1036="DS Node",'Characteristics&amp;Parameters'!$B$8,""))</f>
        <v/>
      </c>
      <c r="C1036" s="8"/>
      <c r="E1036" s="7" t="s">
        <v>25</v>
      </c>
      <c r="F1036" s="8" t="s">
        <v>25</v>
      </c>
      <c r="I1036" s="7" t="str">
        <f>IF(I1035&lt;'Characteristics&amp;Parameters'!$B$17,ConcentrationsCalculations!I1035+1,IF(I1035="DS Node","",IF(I1035="","","DS Node")))</f>
        <v/>
      </c>
      <c r="J1036" s="13" t="str">
        <f>IF(I1036="DS Node",'Characteristics&amp;Parameters'!$B$8,IF(I1036&lt;='Characteristics&amp;Parameters'!$B$17,((1-'Characteristics&amp;Parameters'!$B$19)*ConcentrationsCalculations!F1036+'Characteristics&amp;Parameters'!$B$19*ConcentrationsCalculations!F1035-F1036/86400*'Characteristics&amp;Parameters'!$B$11*'Characteristics&amp;Parameters'!$B$12),""))</f>
        <v/>
      </c>
    </row>
    <row r="1037" spans="1:10" x14ac:dyDescent="0.5">
      <c r="A1037" s="7" t="str">
        <f>IF(A1036&lt;'Characteristics&amp;Parameters'!$B$17,ConcentrationsCalculations!A1036+1,IF(A1036="DS Node","",IF(A1036="","","DS Node")))</f>
        <v/>
      </c>
      <c r="B1037" s="8" t="str">
        <f>IF(A1037&lt;='Characteristics&amp;Parameters'!$B$17,'Characteristics&amp;Parameters'!$B$7,IF(ConcentrationsCalculations!A1037="DS Node",'Characteristics&amp;Parameters'!$B$8,""))</f>
        <v/>
      </c>
      <c r="C1037" s="8"/>
      <c r="E1037" s="7" t="s">
        <v>25</v>
      </c>
      <c r="F1037" s="8" t="s">
        <v>25</v>
      </c>
      <c r="I1037" s="7" t="str">
        <f>IF(I1036&lt;'Characteristics&amp;Parameters'!$B$17,ConcentrationsCalculations!I1036+1,IF(I1036="DS Node","",IF(I1036="","","DS Node")))</f>
        <v/>
      </c>
      <c r="J1037" s="13" t="str">
        <f>IF(I1037="DS Node",'Characteristics&amp;Parameters'!$B$8,IF(I1037&lt;='Characteristics&amp;Parameters'!$B$17,((1-'Characteristics&amp;Parameters'!$B$19)*ConcentrationsCalculations!F1037+'Characteristics&amp;Parameters'!$B$19*ConcentrationsCalculations!F1036-F1037/86400*'Characteristics&amp;Parameters'!$B$11*'Characteristics&amp;Parameters'!$B$12),""))</f>
        <v/>
      </c>
    </row>
    <row r="1038" spans="1:10" x14ac:dyDescent="0.5">
      <c r="A1038" s="7" t="str">
        <f>IF(A1037&lt;'Characteristics&amp;Parameters'!$B$17,ConcentrationsCalculations!A1037+1,IF(A1037="DS Node","",IF(A1037="","","DS Node")))</f>
        <v/>
      </c>
      <c r="B1038" s="8" t="str">
        <f>IF(A1038&lt;='Characteristics&amp;Parameters'!$B$17,'Characteristics&amp;Parameters'!$B$7,IF(ConcentrationsCalculations!A1038="DS Node",'Characteristics&amp;Parameters'!$B$8,""))</f>
        <v/>
      </c>
      <c r="C1038" s="8"/>
      <c r="E1038" s="7" t="s">
        <v>25</v>
      </c>
      <c r="F1038" s="8" t="s">
        <v>25</v>
      </c>
      <c r="I1038" s="7" t="str">
        <f>IF(I1037&lt;'Characteristics&amp;Parameters'!$B$17,ConcentrationsCalculations!I1037+1,IF(I1037="DS Node","",IF(I1037="","","DS Node")))</f>
        <v/>
      </c>
      <c r="J1038" s="13" t="str">
        <f>IF(I1038="DS Node",'Characteristics&amp;Parameters'!$B$8,IF(I1038&lt;='Characteristics&amp;Parameters'!$B$17,((1-'Characteristics&amp;Parameters'!$B$19)*ConcentrationsCalculations!F1038+'Characteristics&amp;Parameters'!$B$19*ConcentrationsCalculations!F1037-F1038/86400*'Characteristics&amp;Parameters'!$B$11*'Characteristics&amp;Parameters'!$B$12),""))</f>
        <v/>
      </c>
    </row>
    <row r="1039" spans="1:10" x14ac:dyDescent="0.5">
      <c r="A1039" s="7" t="str">
        <f>IF(A1038&lt;'Characteristics&amp;Parameters'!$B$17,ConcentrationsCalculations!A1038+1,IF(A1038="DS Node","",IF(A1038="","","DS Node")))</f>
        <v/>
      </c>
      <c r="B1039" s="8" t="str">
        <f>IF(A1039&lt;='Characteristics&amp;Parameters'!$B$17,'Characteristics&amp;Parameters'!$B$7,IF(ConcentrationsCalculations!A1039="DS Node",'Characteristics&amp;Parameters'!$B$8,""))</f>
        <v/>
      </c>
      <c r="C1039" s="8"/>
      <c r="E1039" s="7" t="s">
        <v>25</v>
      </c>
      <c r="F1039" s="8" t="s">
        <v>25</v>
      </c>
      <c r="I1039" s="7" t="str">
        <f>IF(I1038&lt;'Characteristics&amp;Parameters'!$B$17,ConcentrationsCalculations!I1038+1,IF(I1038="DS Node","",IF(I1038="","","DS Node")))</f>
        <v/>
      </c>
      <c r="J1039" s="13" t="str">
        <f>IF(I1039="DS Node",'Characteristics&amp;Parameters'!$B$8,IF(I1039&lt;='Characteristics&amp;Parameters'!$B$17,((1-'Characteristics&amp;Parameters'!$B$19)*ConcentrationsCalculations!F1039+'Characteristics&amp;Parameters'!$B$19*ConcentrationsCalculations!F1038-F1039/86400*'Characteristics&amp;Parameters'!$B$11*'Characteristics&amp;Parameters'!$B$12),""))</f>
        <v/>
      </c>
    </row>
    <row r="1040" spans="1:10" x14ac:dyDescent="0.5">
      <c r="A1040" s="7" t="str">
        <f>IF(A1039&lt;'Characteristics&amp;Parameters'!$B$17,ConcentrationsCalculations!A1039+1,IF(A1039="DS Node","",IF(A1039="","","DS Node")))</f>
        <v/>
      </c>
      <c r="B1040" s="8" t="str">
        <f>IF(A1040&lt;='Characteristics&amp;Parameters'!$B$17,'Characteristics&amp;Parameters'!$B$7,IF(ConcentrationsCalculations!A1040="DS Node",'Characteristics&amp;Parameters'!$B$8,""))</f>
        <v/>
      </c>
      <c r="C1040" s="8"/>
      <c r="E1040" s="7" t="s">
        <v>25</v>
      </c>
      <c r="F1040" s="8" t="s">
        <v>25</v>
      </c>
      <c r="I1040" s="7" t="str">
        <f>IF(I1039&lt;'Characteristics&amp;Parameters'!$B$17,ConcentrationsCalculations!I1039+1,IF(I1039="DS Node","",IF(I1039="","","DS Node")))</f>
        <v/>
      </c>
      <c r="J1040" s="13" t="str">
        <f>IF(I1040="DS Node",'Characteristics&amp;Parameters'!$B$8,IF(I1040&lt;='Characteristics&amp;Parameters'!$B$17,((1-'Characteristics&amp;Parameters'!$B$19)*ConcentrationsCalculations!F1040+'Characteristics&amp;Parameters'!$B$19*ConcentrationsCalculations!F1039-F1040/86400*'Characteristics&amp;Parameters'!$B$11*'Characteristics&amp;Parameters'!$B$12),""))</f>
        <v/>
      </c>
    </row>
    <row r="1041" spans="1:10" x14ac:dyDescent="0.5">
      <c r="A1041" s="7" t="str">
        <f>IF(A1040&lt;'Characteristics&amp;Parameters'!$B$17,ConcentrationsCalculations!A1040+1,IF(A1040="DS Node","",IF(A1040="","","DS Node")))</f>
        <v/>
      </c>
      <c r="B1041" s="8" t="str">
        <f>IF(A1041&lt;='Characteristics&amp;Parameters'!$B$17,'Characteristics&amp;Parameters'!$B$7,IF(ConcentrationsCalculations!A1041="DS Node",'Characteristics&amp;Parameters'!$B$8,""))</f>
        <v/>
      </c>
      <c r="C1041" s="8"/>
      <c r="E1041" s="7" t="s">
        <v>25</v>
      </c>
      <c r="F1041" s="8" t="s">
        <v>25</v>
      </c>
      <c r="I1041" s="7" t="str">
        <f>IF(I1040&lt;'Characteristics&amp;Parameters'!$B$17,ConcentrationsCalculations!I1040+1,IF(I1040="DS Node","",IF(I1040="","","DS Node")))</f>
        <v/>
      </c>
      <c r="J1041" s="13" t="str">
        <f>IF(I1041="DS Node",'Characteristics&amp;Parameters'!$B$8,IF(I1041&lt;='Characteristics&amp;Parameters'!$B$17,((1-'Characteristics&amp;Parameters'!$B$19)*ConcentrationsCalculations!F1041+'Characteristics&amp;Parameters'!$B$19*ConcentrationsCalculations!F1040-F1041/86400*'Characteristics&amp;Parameters'!$B$11*'Characteristics&amp;Parameters'!$B$12),""))</f>
        <v/>
      </c>
    </row>
    <row r="1042" spans="1:10" x14ac:dyDescent="0.5">
      <c r="A1042" s="7" t="str">
        <f>IF(A1041&lt;'Characteristics&amp;Parameters'!$B$17,ConcentrationsCalculations!A1041+1,IF(A1041="DS Node","",IF(A1041="","","DS Node")))</f>
        <v/>
      </c>
      <c r="B1042" s="8" t="str">
        <f>IF(A1042&lt;='Characteristics&amp;Parameters'!$B$17,'Characteristics&amp;Parameters'!$B$7,IF(ConcentrationsCalculations!A1042="DS Node",'Characteristics&amp;Parameters'!$B$8,""))</f>
        <v/>
      </c>
      <c r="C1042" s="8"/>
      <c r="E1042" s="7" t="s">
        <v>25</v>
      </c>
      <c r="F1042" s="8" t="s">
        <v>25</v>
      </c>
      <c r="I1042" s="7" t="str">
        <f>IF(I1041&lt;'Characteristics&amp;Parameters'!$B$17,ConcentrationsCalculations!I1041+1,IF(I1041="DS Node","",IF(I1041="","","DS Node")))</f>
        <v/>
      </c>
      <c r="J1042" s="13" t="str">
        <f>IF(I1042="DS Node",'Characteristics&amp;Parameters'!$B$8,IF(I1042&lt;='Characteristics&amp;Parameters'!$B$17,((1-'Characteristics&amp;Parameters'!$B$19)*ConcentrationsCalculations!F1042+'Characteristics&amp;Parameters'!$B$19*ConcentrationsCalculations!F1041-F1042/86400*'Characteristics&amp;Parameters'!$B$11*'Characteristics&amp;Parameters'!$B$12),""))</f>
        <v/>
      </c>
    </row>
    <row r="1043" spans="1:10" x14ac:dyDescent="0.5">
      <c r="A1043" s="7" t="str">
        <f>IF(A1042&lt;'Characteristics&amp;Parameters'!$B$17,ConcentrationsCalculations!A1042+1,IF(A1042="DS Node","",IF(A1042="","","DS Node")))</f>
        <v/>
      </c>
      <c r="B1043" s="8" t="str">
        <f>IF(A1043&lt;='Characteristics&amp;Parameters'!$B$17,'Characteristics&amp;Parameters'!$B$7,IF(ConcentrationsCalculations!A1043="DS Node",'Characteristics&amp;Parameters'!$B$8,""))</f>
        <v/>
      </c>
      <c r="C1043" s="8"/>
      <c r="E1043" s="7" t="s">
        <v>25</v>
      </c>
      <c r="F1043" s="8" t="s">
        <v>25</v>
      </c>
      <c r="I1043" s="7" t="str">
        <f>IF(I1042&lt;'Characteristics&amp;Parameters'!$B$17,ConcentrationsCalculations!I1042+1,IF(I1042="DS Node","",IF(I1042="","","DS Node")))</f>
        <v/>
      </c>
      <c r="J1043" s="13" t="str">
        <f>IF(I1043="DS Node",'Characteristics&amp;Parameters'!$B$8,IF(I1043&lt;='Characteristics&amp;Parameters'!$B$17,((1-'Characteristics&amp;Parameters'!$B$19)*ConcentrationsCalculations!F1043+'Characteristics&amp;Parameters'!$B$19*ConcentrationsCalculations!F1042-F1043/86400*'Characteristics&amp;Parameters'!$B$11*'Characteristics&amp;Parameters'!$B$12),""))</f>
        <v/>
      </c>
    </row>
    <row r="1044" spans="1:10" x14ac:dyDescent="0.5">
      <c r="A1044" s="7" t="str">
        <f>IF(A1043&lt;'Characteristics&amp;Parameters'!$B$17,ConcentrationsCalculations!A1043+1,IF(A1043="DS Node","",IF(A1043="","","DS Node")))</f>
        <v/>
      </c>
      <c r="B1044" s="8" t="str">
        <f>IF(A1044&lt;='Characteristics&amp;Parameters'!$B$17,'Characteristics&amp;Parameters'!$B$7,IF(ConcentrationsCalculations!A1044="DS Node",'Characteristics&amp;Parameters'!$B$8,""))</f>
        <v/>
      </c>
      <c r="C1044" s="8"/>
      <c r="E1044" s="7" t="s">
        <v>25</v>
      </c>
      <c r="F1044" s="8" t="s">
        <v>25</v>
      </c>
      <c r="I1044" s="7" t="str">
        <f>IF(I1043&lt;'Characteristics&amp;Parameters'!$B$17,ConcentrationsCalculations!I1043+1,IF(I1043="DS Node","",IF(I1043="","","DS Node")))</f>
        <v/>
      </c>
      <c r="J1044" s="13" t="str">
        <f>IF(I1044="DS Node",'Characteristics&amp;Parameters'!$B$8,IF(I1044&lt;='Characteristics&amp;Parameters'!$B$17,((1-'Characteristics&amp;Parameters'!$B$19)*ConcentrationsCalculations!F1044+'Characteristics&amp;Parameters'!$B$19*ConcentrationsCalculations!F1043-F1044/86400*'Characteristics&amp;Parameters'!$B$11*'Characteristics&amp;Parameters'!$B$12),""))</f>
        <v/>
      </c>
    </row>
    <row r="1045" spans="1:10" x14ac:dyDescent="0.5">
      <c r="A1045" s="7" t="str">
        <f>IF(A1044&lt;'Characteristics&amp;Parameters'!$B$17,ConcentrationsCalculations!A1044+1,IF(A1044="DS Node","",IF(A1044="","","DS Node")))</f>
        <v/>
      </c>
      <c r="B1045" s="8" t="str">
        <f>IF(A1045&lt;='Characteristics&amp;Parameters'!$B$17,'Characteristics&amp;Parameters'!$B$7,IF(ConcentrationsCalculations!A1045="DS Node",'Characteristics&amp;Parameters'!$B$8,""))</f>
        <v/>
      </c>
      <c r="C1045" s="8"/>
      <c r="E1045" s="7" t="s">
        <v>25</v>
      </c>
      <c r="F1045" s="8" t="s">
        <v>25</v>
      </c>
      <c r="I1045" s="7" t="str">
        <f>IF(I1044&lt;'Characteristics&amp;Parameters'!$B$17,ConcentrationsCalculations!I1044+1,IF(I1044="DS Node","",IF(I1044="","","DS Node")))</f>
        <v/>
      </c>
      <c r="J1045" s="13" t="str">
        <f>IF(I1045="DS Node",'Characteristics&amp;Parameters'!$B$8,IF(I1045&lt;='Characteristics&amp;Parameters'!$B$17,((1-'Characteristics&amp;Parameters'!$B$19)*ConcentrationsCalculations!F1045+'Characteristics&amp;Parameters'!$B$19*ConcentrationsCalculations!F1044-F1045/86400*'Characteristics&amp;Parameters'!$B$11*'Characteristics&amp;Parameters'!$B$12),""))</f>
        <v/>
      </c>
    </row>
    <row r="1046" spans="1:10" x14ac:dyDescent="0.5">
      <c r="A1046" s="7" t="str">
        <f>IF(A1045&lt;'Characteristics&amp;Parameters'!$B$17,ConcentrationsCalculations!A1045+1,IF(A1045="DS Node","",IF(A1045="","","DS Node")))</f>
        <v/>
      </c>
      <c r="B1046" s="8" t="str">
        <f>IF(A1046&lt;='Characteristics&amp;Parameters'!$B$17,'Characteristics&amp;Parameters'!$B$7,IF(ConcentrationsCalculations!A1046="DS Node",'Characteristics&amp;Parameters'!$B$8,""))</f>
        <v/>
      </c>
      <c r="C1046" s="8"/>
      <c r="E1046" s="7" t="s">
        <v>25</v>
      </c>
      <c r="F1046" s="8" t="s">
        <v>25</v>
      </c>
      <c r="I1046" s="7" t="str">
        <f>IF(I1045&lt;'Characteristics&amp;Parameters'!$B$17,ConcentrationsCalculations!I1045+1,IF(I1045="DS Node","",IF(I1045="","","DS Node")))</f>
        <v/>
      </c>
      <c r="J1046" s="13" t="str">
        <f>IF(I1046="DS Node",'Characteristics&amp;Parameters'!$B$8,IF(I1046&lt;='Characteristics&amp;Parameters'!$B$17,((1-'Characteristics&amp;Parameters'!$B$19)*ConcentrationsCalculations!F1046+'Characteristics&amp;Parameters'!$B$19*ConcentrationsCalculations!F1045-F1046/86400*'Characteristics&amp;Parameters'!$B$11*'Characteristics&amp;Parameters'!$B$12),""))</f>
        <v/>
      </c>
    </row>
    <row r="1047" spans="1:10" x14ac:dyDescent="0.5">
      <c r="A1047" s="7" t="str">
        <f>IF(A1046&lt;'Characteristics&amp;Parameters'!$B$17,ConcentrationsCalculations!A1046+1,IF(A1046="DS Node","",IF(A1046="","","DS Node")))</f>
        <v/>
      </c>
      <c r="B1047" s="8" t="str">
        <f>IF(A1047&lt;='Characteristics&amp;Parameters'!$B$17,'Characteristics&amp;Parameters'!$B$7,IF(ConcentrationsCalculations!A1047="DS Node",'Characteristics&amp;Parameters'!$B$8,""))</f>
        <v/>
      </c>
      <c r="C1047" s="8"/>
      <c r="E1047" s="7" t="s">
        <v>25</v>
      </c>
      <c r="F1047" s="8" t="s">
        <v>25</v>
      </c>
      <c r="I1047" s="7" t="str">
        <f>IF(I1046&lt;'Characteristics&amp;Parameters'!$B$17,ConcentrationsCalculations!I1046+1,IF(I1046="DS Node","",IF(I1046="","","DS Node")))</f>
        <v/>
      </c>
      <c r="J1047" s="13" t="str">
        <f>IF(I1047="DS Node",'Characteristics&amp;Parameters'!$B$8,IF(I1047&lt;='Characteristics&amp;Parameters'!$B$17,((1-'Characteristics&amp;Parameters'!$B$19)*ConcentrationsCalculations!F1047+'Characteristics&amp;Parameters'!$B$19*ConcentrationsCalculations!F1046-F1047/86400*'Characteristics&amp;Parameters'!$B$11*'Characteristics&amp;Parameters'!$B$12),""))</f>
        <v/>
      </c>
    </row>
    <row r="1048" spans="1:10" x14ac:dyDescent="0.5">
      <c r="A1048" s="7" t="str">
        <f>IF(A1047&lt;'Characteristics&amp;Parameters'!$B$17,ConcentrationsCalculations!A1047+1,IF(A1047="DS Node","",IF(A1047="","","DS Node")))</f>
        <v/>
      </c>
      <c r="B1048" s="8" t="str">
        <f>IF(A1048&lt;='Characteristics&amp;Parameters'!$B$17,'Characteristics&amp;Parameters'!$B$7,IF(ConcentrationsCalculations!A1048="DS Node",'Characteristics&amp;Parameters'!$B$8,""))</f>
        <v/>
      </c>
      <c r="C1048" s="8"/>
      <c r="E1048" s="7" t="s">
        <v>25</v>
      </c>
      <c r="F1048" s="8" t="s">
        <v>25</v>
      </c>
      <c r="I1048" s="7" t="str">
        <f>IF(I1047&lt;'Characteristics&amp;Parameters'!$B$17,ConcentrationsCalculations!I1047+1,IF(I1047="DS Node","",IF(I1047="","","DS Node")))</f>
        <v/>
      </c>
      <c r="J1048" s="13" t="str">
        <f>IF(I1048="DS Node",'Characteristics&amp;Parameters'!$B$8,IF(I1048&lt;='Characteristics&amp;Parameters'!$B$17,((1-'Characteristics&amp;Parameters'!$B$19)*ConcentrationsCalculations!F1048+'Characteristics&amp;Parameters'!$B$19*ConcentrationsCalculations!F1047-F1048/86400*'Characteristics&amp;Parameters'!$B$11*'Characteristics&amp;Parameters'!$B$12),""))</f>
        <v/>
      </c>
    </row>
    <row r="1049" spans="1:10" x14ac:dyDescent="0.5">
      <c r="A1049" s="7" t="str">
        <f>IF(A1048&lt;'Characteristics&amp;Parameters'!$B$17,ConcentrationsCalculations!A1048+1,IF(A1048="DS Node","",IF(A1048="","","DS Node")))</f>
        <v/>
      </c>
      <c r="B1049" s="8" t="str">
        <f>IF(A1049&lt;='Characteristics&amp;Parameters'!$B$17,'Characteristics&amp;Parameters'!$B$7,IF(ConcentrationsCalculations!A1049="DS Node",'Characteristics&amp;Parameters'!$B$8,""))</f>
        <v/>
      </c>
      <c r="C1049" s="8"/>
      <c r="E1049" s="7" t="s">
        <v>25</v>
      </c>
      <c r="F1049" s="8" t="s">
        <v>25</v>
      </c>
      <c r="I1049" s="7" t="str">
        <f>IF(I1048&lt;'Characteristics&amp;Parameters'!$B$17,ConcentrationsCalculations!I1048+1,IF(I1048="DS Node","",IF(I1048="","","DS Node")))</f>
        <v/>
      </c>
      <c r="J1049" s="13" t="str">
        <f>IF(I1049="DS Node",'Characteristics&amp;Parameters'!$B$8,IF(I1049&lt;='Characteristics&amp;Parameters'!$B$17,((1-'Characteristics&amp;Parameters'!$B$19)*ConcentrationsCalculations!F1049+'Characteristics&amp;Parameters'!$B$19*ConcentrationsCalculations!F1048-F1049/86400*'Characteristics&amp;Parameters'!$B$11*'Characteristics&amp;Parameters'!$B$12),""))</f>
        <v/>
      </c>
    </row>
    <row r="1050" spans="1:10" x14ac:dyDescent="0.5">
      <c r="A1050" s="7" t="str">
        <f>IF(A1049&lt;'Characteristics&amp;Parameters'!$B$17,ConcentrationsCalculations!A1049+1,IF(A1049="DS Node","",IF(A1049="","","DS Node")))</f>
        <v/>
      </c>
      <c r="B1050" s="8" t="str">
        <f>IF(A1050&lt;='Characteristics&amp;Parameters'!$B$17,'Characteristics&amp;Parameters'!$B$7,IF(ConcentrationsCalculations!A1050="DS Node",'Characteristics&amp;Parameters'!$B$8,""))</f>
        <v/>
      </c>
      <c r="C1050" s="8"/>
      <c r="E1050" s="7" t="s">
        <v>25</v>
      </c>
      <c r="F1050" s="8" t="s">
        <v>25</v>
      </c>
      <c r="I1050" s="7" t="str">
        <f>IF(I1049&lt;'Characteristics&amp;Parameters'!$B$17,ConcentrationsCalculations!I1049+1,IF(I1049="DS Node","",IF(I1049="","","DS Node")))</f>
        <v/>
      </c>
      <c r="J1050" s="13" t="str">
        <f>IF(I1050="DS Node",'Characteristics&amp;Parameters'!$B$8,IF(I1050&lt;='Characteristics&amp;Parameters'!$B$17,((1-'Characteristics&amp;Parameters'!$B$19)*ConcentrationsCalculations!F1050+'Characteristics&amp;Parameters'!$B$19*ConcentrationsCalculations!F1049-F1050/86400*'Characteristics&amp;Parameters'!$B$11*'Characteristics&amp;Parameters'!$B$12),""))</f>
        <v/>
      </c>
    </row>
    <row r="1051" spans="1:10" x14ac:dyDescent="0.5">
      <c r="A1051" s="7" t="str">
        <f>IF(A1050&lt;'Characteristics&amp;Parameters'!$B$17,ConcentrationsCalculations!A1050+1,IF(A1050="DS Node","",IF(A1050="","","DS Node")))</f>
        <v/>
      </c>
      <c r="B1051" s="8" t="str">
        <f>IF(A1051&lt;='Characteristics&amp;Parameters'!$B$17,'Characteristics&amp;Parameters'!$B$7,IF(ConcentrationsCalculations!A1051="DS Node",'Characteristics&amp;Parameters'!$B$8,""))</f>
        <v/>
      </c>
      <c r="C1051" s="8"/>
      <c r="E1051" s="7" t="s">
        <v>25</v>
      </c>
      <c r="F1051" s="8" t="s">
        <v>25</v>
      </c>
      <c r="I1051" s="7" t="str">
        <f>IF(I1050&lt;'Characteristics&amp;Parameters'!$B$17,ConcentrationsCalculations!I1050+1,IF(I1050="DS Node","",IF(I1050="","","DS Node")))</f>
        <v/>
      </c>
      <c r="J1051" s="13" t="str">
        <f>IF(I1051="DS Node",'Characteristics&amp;Parameters'!$B$8,IF(I1051&lt;='Characteristics&amp;Parameters'!$B$17,((1-'Characteristics&amp;Parameters'!$B$19)*ConcentrationsCalculations!F1051+'Characteristics&amp;Parameters'!$B$19*ConcentrationsCalculations!F1050-F1051/86400*'Characteristics&amp;Parameters'!$B$11*'Characteristics&amp;Parameters'!$B$12),""))</f>
        <v/>
      </c>
    </row>
    <row r="1052" spans="1:10" x14ac:dyDescent="0.5">
      <c r="A1052" s="7" t="str">
        <f>IF(A1051&lt;'Characteristics&amp;Parameters'!$B$17,ConcentrationsCalculations!A1051+1,IF(A1051="DS Node","",IF(A1051="","","DS Node")))</f>
        <v/>
      </c>
      <c r="B1052" s="8" t="str">
        <f>IF(A1052&lt;='Characteristics&amp;Parameters'!$B$17,'Characteristics&amp;Parameters'!$B$7,IF(ConcentrationsCalculations!A1052="DS Node",'Characteristics&amp;Parameters'!$B$8,""))</f>
        <v/>
      </c>
      <c r="C1052" s="8"/>
      <c r="E1052" s="7" t="s">
        <v>25</v>
      </c>
      <c r="F1052" s="8" t="s">
        <v>25</v>
      </c>
      <c r="I1052" s="7" t="str">
        <f>IF(I1051&lt;'Characteristics&amp;Parameters'!$B$17,ConcentrationsCalculations!I1051+1,IF(I1051="DS Node","",IF(I1051="","","DS Node")))</f>
        <v/>
      </c>
      <c r="J1052" s="13" t="str">
        <f>IF(I1052="DS Node",'Characteristics&amp;Parameters'!$B$8,IF(I1052&lt;='Characteristics&amp;Parameters'!$B$17,((1-'Characteristics&amp;Parameters'!$B$19)*ConcentrationsCalculations!F1052+'Characteristics&amp;Parameters'!$B$19*ConcentrationsCalculations!F1051-F1052/86400*'Characteristics&amp;Parameters'!$B$11*'Characteristics&amp;Parameters'!$B$12),""))</f>
        <v/>
      </c>
    </row>
    <row r="1053" spans="1:10" x14ac:dyDescent="0.5">
      <c r="A1053" s="7" t="str">
        <f>IF(A1052&lt;'Characteristics&amp;Parameters'!$B$17,ConcentrationsCalculations!A1052+1,IF(A1052="DS Node","",IF(A1052="","","DS Node")))</f>
        <v/>
      </c>
      <c r="B1053" s="8" t="str">
        <f>IF(A1053&lt;='Characteristics&amp;Parameters'!$B$17,'Characteristics&amp;Parameters'!$B$7,IF(ConcentrationsCalculations!A1053="DS Node",'Characteristics&amp;Parameters'!$B$8,""))</f>
        <v/>
      </c>
      <c r="C1053" s="8"/>
      <c r="E1053" s="7" t="s">
        <v>25</v>
      </c>
      <c r="F1053" s="8" t="s">
        <v>25</v>
      </c>
      <c r="I1053" s="7" t="str">
        <f>IF(I1052&lt;'Characteristics&amp;Parameters'!$B$17,ConcentrationsCalculations!I1052+1,IF(I1052="DS Node","",IF(I1052="","","DS Node")))</f>
        <v/>
      </c>
      <c r="J1053" s="13" t="str">
        <f>IF(I1053="DS Node",'Characteristics&amp;Parameters'!$B$8,IF(I1053&lt;='Characteristics&amp;Parameters'!$B$17,((1-'Characteristics&amp;Parameters'!$B$19)*ConcentrationsCalculations!F1053+'Characteristics&amp;Parameters'!$B$19*ConcentrationsCalculations!F1052-F1053/86400*'Characteristics&amp;Parameters'!$B$11*'Characteristics&amp;Parameters'!$B$12),""))</f>
        <v/>
      </c>
    </row>
    <row r="1054" spans="1:10" x14ac:dyDescent="0.5">
      <c r="A1054" s="7" t="str">
        <f>IF(A1053&lt;'Characteristics&amp;Parameters'!$B$17,ConcentrationsCalculations!A1053+1,IF(A1053="DS Node","",IF(A1053="","","DS Node")))</f>
        <v/>
      </c>
      <c r="B1054" s="8" t="str">
        <f>IF(A1054&lt;='Characteristics&amp;Parameters'!$B$17,'Characteristics&amp;Parameters'!$B$7,IF(ConcentrationsCalculations!A1054="DS Node",'Characteristics&amp;Parameters'!$B$8,""))</f>
        <v/>
      </c>
      <c r="C1054" s="8"/>
      <c r="E1054" s="7" t="s">
        <v>25</v>
      </c>
      <c r="F1054" s="8" t="s">
        <v>25</v>
      </c>
      <c r="I1054" s="7" t="str">
        <f>IF(I1053&lt;'Characteristics&amp;Parameters'!$B$17,ConcentrationsCalculations!I1053+1,IF(I1053="DS Node","",IF(I1053="","","DS Node")))</f>
        <v/>
      </c>
      <c r="J1054" s="13" t="str">
        <f>IF(I1054="DS Node",'Characteristics&amp;Parameters'!$B$8,IF(I1054&lt;='Characteristics&amp;Parameters'!$B$17,((1-'Characteristics&amp;Parameters'!$B$19)*ConcentrationsCalculations!F1054+'Characteristics&amp;Parameters'!$B$19*ConcentrationsCalculations!F1053-F1054/86400*'Characteristics&amp;Parameters'!$B$11*'Characteristics&amp;Parameters'!$B$12),""))</f>
        <v/>
      </c>
    </row>
    <row r="1055" spans="1:10" x14ac:dyDescent="0.5">
      <c r="A1055" s="7" t="str">
        <f>IF(A1054&lt;'Characteristics&amp;Parameters'!$B$17,ConcentrationsCalculations!A1054+1,IF(A1054="DS Node","",IF(A1054="","","DS Node")))</f>
        <v/>
      </c>
      <c r="B1055" s="8" t="str">
        <f>IF(A1055&lt;='Characteristics&amp;Parameters'!$B$17,'Characteristics&amp;Parameters'!$B$7,IF(ConcentrationsCalculations!A1055="DS Node",'Characteristics&amp;Parameters'!$B$8,""))</f>
        <v/>
      </c>
      <c r="C1055" s="8"/>
      <c r="E1055" s="7" t="s">
        <v>25</v>
      </c>
      <c r="F1055" s="8" t="s">
        <v>25</v>
      </c>
      <c r="I1055" s="7" t="str">
        <f>IF(I1054&lt;'Characteristics&amp;Parameters'!$B$17,ConcentrationsCalculations!I1054+1,IF(I1054="DS Node","",IF(I1054="","","DS Node")))</f>
        <v/>
      </c>
      <c r="J1055" s="13" t="str">
        <f>IF(I1055="DS Node",'Characteristics&amp;Parameters'!$B$8,IF(I1055&lt;='Characteristics&amp;Parameters'!$B$17,((1-'Characteristics&amp;Parameters'!$B$19)*ConcentrationsCalculations!F1055+'Characteristics&amp;Parameters'!$B$19*ConcentrationsCalculations!F1054-F1055/86400*'Characteristics&amp;Parameters'!$B$11*'Characteristics&amp;Parameters'!$B$12),""))</f>
        <v/>
      </c>
    </row>
    <row r="1056" spans="1:10" x14ac:dyDescent="0.5">
      <c r="A1056" s="7" t="str">
        <f>IF(A1055&lt;'Characteristics&amp;Parameters'!$B$17,ConcentrationsCalculations!A1055+1,IF(A1055="DS Node","",IF(A1055="","","DS Node")))</f>
        <v/>
      </c>
      <c r="B1056" s="8" t="str">
        <f>IF(A1056&lt;='Characteristics&amp;Parameters'!$B$17,'Characteristics&amp;Parameters'!$B$7,IF(ConcentrationsCalculations!A1056="DS Node",'Characteristics&amp;Parameters'!$B$8,""))</f>
        <v/>
      </c>
      <c r="C1056" s="8"/>
      <c r="E1056" s="7" t="s">
        <v>25</v>
      </c>
      <c r="F1056" s="8" t="s">
        <v>25</v>
      </c>
      <c r="I1056" s="7" t="str">
        <f>IF(I1055&lt;'Characteristics&amp;Parameters'!$B$17,ConcentrationsCalculations!I1055+1,IF(I1055="DS Node","",IF(I1055="","","DS Node")))</f>
        <v/>
      </c>
      <c r="J1056" s="13" t="str">
        <f>IF(I1056="DS Node",'Characteristics&amp;Parameters'!$B$8,IF(I1056&lt;='Characteristics&amp;Parameters'!$B$17,((1-'Characteristics&amp;Parameters'!$B$19)*ConcentrationsCalculations!F1056+'Characteristics&amp;Parameters'!$B$19*ConcentrationsCalculations!F1055-F1056/86400*'Characteristics&amp;Parameters'!$B$11*'Characteristics&amp;Parameters'!$B$12),""))</f>
        <v/>
      </c>
    </row>
    <row r="1057" spans="1:10" x14ac:dyDescent="0.5">
      <c r="A1057" s="7" t="str">
        <f>IF(A1056&lt;'Characteristics&amp;Parameters'!$B$17,ConcentrationsCalculations!A1056+1,IF(A1056="DS Node","",IF(A1056="","","DS Node")))</f>
        <v/>
      </c>
      <c r="B1057" s="8" t="str">
        <f>IF(A1057&lt;='Characteristics&amp;Parameters'!$B$17,'Characteristics&amp;Parameters'!$B$7,IF(ConcentrationsCalculations!A1057="DS Node",'Characteristics&amp;Parameters'!$B$8,""))</f>
        <v/>
      </c>
      <c r="C1057" s="8"/>
      <c r="E1057" s="7" t="s">
        <v>25</v>
      </c>
      <c r="F1057" s="8" t="s">
        <v>25</v>
      </c>
      <c r="I1057" s="7" t="str">
        <f>IF(I1056&lt;'Characteristics&amp;Parameters'!$B$17,ConcentrationsCalculations!I1056+1,IF(I1056="DS Node","",IF(I1056="","","DS Node")))</f>
        <v/>
      </c>
      <c r="J1057" s="13" t="str">
        <f>IF(I1057="DS Node",'Characteristics&amp;Parameters'!$B$8,IF(I1057&lt;='Characteristics&amp;Parameters'!$B$17,((1-'Characteristics&amp;Parameters'!$B$19)*ConcentrationsCalculations!F1057+'Characteristics&amp;Parameters'!$B$19*ConcentrationsCalculations!F1056-F1057/86400*'Characteristics&amp;Parameters'!$B$11*'Characteristics&amp;Parameters'!$B$12),""))</f>
        <v/>
      </c>
    </row>
    <row r="1058" spans="1:10" x14ac:dyDescent="0.5">
      <c r="A1058" s="7" t="str">
        <f>IF(A1057&lt;'Characteristics&amp;Parameters'!$B$17,ConcentrationsCalculations!A1057+1,IF(A1057="DS Node","",IF(A1057="","","DS Node")))</f>
        <v/>
      </c>
      <c r="B1058" s="8" t="str">
        <f>IF(A1058&lt;='Characteristics&amp;Parameters'!$B$17,'Characteristics&amp;Parameters'!$B$7,IF(ConcentrationsCalculations!A1058="DS Node",'Characteristics&amp;Parameters'!$B$8,""))</f>
        <v/>
      </c>
      <c r="C1058" s="8"/>
      <c r="E1058" s="7" t="s">
        <v>25</v>
      </c>
      <c r="F1058" s="8" t="s">
        <v>25</v>
      </c>
      <c r="I1058" s="7" t="str">
        <f>IF(I1057&lt;'Characteristics&amp;Parameters'!$B$17,ConcentrationsCalculations!I1057+1,IF(I1057="DS Node","",IF(I1057="","","DS Node")))</f>
        <v/>
      </c>
      <c r="J1058" s="13" t="str">
        <f>IF(I1058="DS Node",'Characteristics&amp;Parameters'!$B$8,IF(I1058&lt;='Characteristics&amp;Parameters'!$B$17,((1-'Characteristics&amp;Parameters'!$B$19)*ConcentrationsCalculations!F1058+'Characteristics&amp;Parameters'!$B$19*ConcentrationsCalculations!F1057-F1058/86400*'Characteristics&amp;Parameters'!$B$11*'Characteristics&amp;Parameters'!$B$12),""))</f>
        <v/>
      </c>
    </row>
    <row r="1059" spans="1:10" x14ac:dyDescent="0.5">
      <c r="A1059" s="7" t="str">
        <f>IF(A1058&lt;'Characteristics&amp;Parameters'!$B$17,ConcentrationsCalculations!A1058+1,IF(A1058="DS Node","",IF(A1058="","","DS Node")))</f>
        <v/>
      </c>
      <c r="B1059" s="8" t="str">
        <f>IF(A1059&lt;='Characteristics&amp;Parameters'!$B$17,'Characteristics&amp;Parameters'!$B$7,IF(ConcentrationsCalculations!A1059="DS Node",'Characteristics&amp;Parameters'!$B$8,""))</f>
        <v/>
      </c>
      <c r="C1059" s="8"/>
      <c r="E1059" s="7" t="s">
        <v>25</v>
      </c>
      <c r="F1059" s="8" t="s">
        <v>25</v>
      </c>
      <c r="I1059" s="7" t="str">
        <f>IF(I1058&lt;'Characteristics&amp;Parameters'!$B$17,ConcentrationsCalculations!I1058+1,IF(I1058="DS Node","",IF(I1058="","","DS Node")))</f>
        <v/>
      </c>
      <c r="J1059" s="13" t="str">
        <f>IF(I1059="DS Node",'Characteristics&amp;Parameters'!$B$8,IF(I1059&lt;='Characteristics&amp;Parameters'!$B$17,((1-'Characteristics&amp;Parameters'!$B$19)*ConcentrationsCalculations!F1059+'Characteristics&amp;Parameters'!$B$19*ConcentrationsCalculations!F1058-F1059/86400*'Characteristics&amp;Parameters'!$B$11*'Characteristics&amp;Parameters'!$B$12),""))</f>
        <v/>
      </c>
    </row>
    <row r="1060" spans="1:10" x14ac:dyDescent="0.5">
      <c r="A1060" s="7" t="str">
        <f>IF(A1059&lt;'Characteristics&amp;Parameters'!$B$17,ConcentrationsCalculations!A1059+1,IF(A1059="DS Node","",IF(A1059="","","DS Node")))</f>
        <v/>
      </c>
      <c r="B1060" s="8" t="str">
        <f>IF(A1060&lt;='Characteristics&amp;Parameters'!$B$17,'Characteristics&amp;Parameters'!$B$7,IF(ConcentrationsCalculations!A1060="DS Node",'Characteristics&amp;Parameters'!$B$8,""))</f>
        <v/>
      </c>
      <c r="C1060" s="8"/>
      <c r="E1060" s="7" t="s">
        <v>25</v>
      </c>
      <c r="F1060" s="8" t="s">
        <v>25</v>
      </c>
      <c r="I1060" s="7" t="str">
        <f>IF(I1059&lt;'Characteristics&amp;Parameters'!$B$17,ConcentrationsCalculations!I1059+1,IF(I1059="DS Node","",IF(I1059="","","DS Node")))</f>
        <v/>
      </c>
      <c r="J1060" s="13" t="str">
        <f>IF(I1060="DS Node",'Characteristics&amp;Parameters'!$B$8,IF(I1060&lt;='Characteristics&amp;Parameters'!$B$17,((1-'Characteristics&amp;Parameters'!$B$19)*ConcentrationsCalculations!F1060+'Characteristics&amp;Parameters'!$B$19*ConcentrationsCalculations!F1059-F1060/86400*'Characteristics&amp;Parameters'!$B$11*'Characteristics&amp;Parameters'!$B$12),""))</f>
        <v/>
      </c>
    </row>
    <row r="1061" spans="1:10" x14ac:dyDescent="0.5">
      <c r="A1061" s="7" t="str">
        <f>IF(A1060&lt;'Characteristics&amp;Parameters'!$B$17,ConcentrationsCalculations!A1060+1,IF(A1060="DS Node","",IF(A1060="","","DS Node")))</f>
        <v/>
      </c>
      <c r="B1061" s="8" t="str">
        <f>IF(A1061&lt;='Characteristics&amp;Parameters'!$B$17,'Characteristics&amp;Parameters'!$B$7,IF(ConcentrationsCalculations!A1061="DS Node",'Characteristics&amp;Parameters'!$B$8,""))</f>
        <v/>
      </c>
      <c r="C1061" s="8"/>
      <c r="E1061" s="7" t="s">
        <v>25</v>
      </c>
      <c r="F1061" s="8" t="s">
        <v>25</v>
      </c>
      <c r="I1061" s="7" t="str">
        <f>IF(I1060&lt;'Characteristics&amp;Parameters'!$B$17,ConcentrationsCalculations!I1060+1,IF(I1060="DS Node","",IF(I1060="","","DS Node")))</f>
        <v/>
      </c>
      <c r="J1061" s="13" t="str">
        <f>IF(I1061="DS Node",'Characteristics&amp;Parameters'!$B$8,IF(I1061&lt;='Characteristics&amp;Parameters'!$B$17,((1-'Characteristics&amp;Parameters'!$B$19)*ConcentrationsCalculations!F1061+'Characteristics&amp;Parameters'!$B$19*ConcentrationsCalculations!F1060-F1061/86400*'Characteristics&amp;Parameters'!$B$11*'Characteristics&amp;Parameters'!$B$12),""))</f>
        <v/>
      </c>
    </row>
    <row r="1062" spans="1:10" x14ac:dyDescent="0.5">
      <c r="A1062" s="7" t="str">
        <f>IF(A1061&lt;'Characteristics&amp;Parameters'!$B$17,ConcentrationsCalculations!A1061+1,IF(A1061="DS Node","",IF(A1061="","","DS Node")))</f>
        <v/>
      </c>
      <c r="B1062" s="8" t="str">
        <f>IF(A1062&lt;='Characteristics&amp;Parameters'!$B$17,'Characteristics&amp;Parameters'!$B$7,IF(ConcentrationsCalculations!A1062="DS Node",'Characteristics&amp;Parameters'!$B$8,""))</f>
        <v/>
      </c>
      <c r="C1062" s="8"/>
      <c r="E1062" s="7" t="s">
        <v>25</v>
      </c>
      <c r="F1062" s="8" t="s">
        <v>25</v>
      </c>
      <c r="I1062" s="7" t="str">
        <f>IF(I1061&lt;'Characteristics&amp;Parameters'!$B$17,ConcentrationsCalculations!I1061+1,IF(I1061="DS Node","",IF(I1061="","","DS Node")))</f>
        <v/>
      </c>
      <c r="J1062" s="13" t="str">
        <f>IF(I1062="DS Node",'Characteristics&amp;Parameters'!$B$8,IF(I1062&lt;='Characteristics&amp;Parameters'!$B$17,((1-'Characteristics&amp;Parameters'!$B$19)*ConcentrationsCalculations!F1062+'Characteristics&amp;Parameters'!$B$19*ConcentrationsCalculations!F1061-F1062/86400*'Characteristics&amp;Parameters'!$B$11*'Characteristics&amp;Parameters'!$B$12),""))</f>
        <v/>
      </c>
    </row>
    <row r="1063" spans="1:10" x14ac:dyDescent="0.5">
      <c r="A1063" s="7" t="str">
        <f>IF(A1062&lt;'Characteristics&amp;Parameters'!$B$17,ConcentrationsCalculations!A1062+1,IF(A1062="DS Node","",IF(A1062="","","DS Node")))</f>
        <v/>
      </c>
      <c r="B1063" s="8" t="str">
        <f>IF(A1063&lt;='Characteristics&amp;Parameters'!$B$17,'Characteristics&amp;Parameters'!$B$7,IF(ConcentrationsCalculations!A1063="DS Node",'Characteristics&amp;Parameters'!$B$8,""))</f>
        <v/>
      </c>
      <c r="C1063" s="8"/>
      <c r="E1063" s="7" t="s">
        <v>25</v>
      </c>
      <c r="F1063" s="8" t="s">
        <v>25</v>
      </c>
      <c r="I1063" s="7" t="str">
        <f>IF(I1062&lt;'Characteristics&amp;Parameters'!$B$17,ConcentrationsCalculations!I1062+1,IF(I1062="DS Node","",IF(I1062="","","DS Node")))</f>
        <v/>
      </c>
      <c r="J1063" s="13" t="str">
        <f>IF(I1063="DS Node",'Characteristics&amp;Parameters'!$B$8,IF(I1063&lt;='Characteristics&amp;Parameters'!$B$17,((1-'Characteristics&amp;Parameters'!$B$19)*ConcentrationsCalculations!F1063+'Characteristics&amp;Parameters'!$B$19*ConcentrationsCalculations!F1062-F1063/86400*'Characteristics&amp;Parameters'!$B$11*'Characteristics&amp;Parameters'!$B$12),""))</f>
        <v/>
      </c>
    </row>
    <row r="1064" spans="1:10" x14ac:dyDescent="0.5">
      <c r="A1064" s="7" t="str">
        <f>IF(A1063&lt;'Characteristics&amp;Parameters'!$B$17,ConcentrationsCalculations!A1063+1,IF(A1063="DS Node","",IF(A1063="","","DS Node")))</f>
        <v/>
      </c>
      <c r="B1064" s="8" t="str">
        <f>IF(A1064&lt;='Characteristics&amp;Parameters'!$B$17,'Characteristics&amp;Parameters'!$B$7,IF(ConcentrationsCalculations!A1064="DS Node",'Characteristics&amp;Parameters'!$B$8,""))</f>
        <v/>
      </c>
      <c r="C1064" s="8"/>
      <c r="E1064" s="7" t="s">
        <v>25</v>
      </c>
      <c r="F1064" s="8" t="s">
        <v>25</v>
      </c>
      <c r="I1064" s="7" t="str">
        <f>IF(I1063&lt;'Characteristics&amp;Parameters'!$B$17,ConcentrationsCalculations!I1063+1,IF(I1063="DS Node","",IF(I1063="","","DS Node")))</f>
        <v/>
      </c>
      <c r="J1064" s="13" t="str">
        <f>IF(I1064="DS Node",'Characteristics&amp;Parameters'!$B$8,IF(I1064&lt;='Characteristics&amp;Parameters'!$B$17,((1-'Characteristics&amp;Parameters'!$B$19)*ConcentrationsCalculations!F1064+'Characteristics&amp;Parameters'!$B$19*ConcentrationsCalculations!F1063-F1064/86400*'Characteristics&amp;Parameters'!$B$11*'Characteristics&amp;Parameters'!$B$12),""))</f>
        <v/>
      </c>
    </row>
    <row r="1065" spans="1:10" x14ac:dyDescent="0.5">
      <c r="A1065" s="7" t="str">
        <f>IF(A1064&lt;'Characteristics&amp;Parameters'!$B$17,ConcentrationsCalculations!A1064+1,IF(A1064="DS Node","",IF(A1064="","","DS Node")))</f>
        <v/>
      </c>
      <c r="B1065" s="8" t="str">
        <f>IF(A1065&lt;='Characteristics&amp;Parameters'!$B$17,'Characteristics&amp;Parameters'!$B$7,IF(ConcentrationsCalculations!A1065="DS Node",'Characteristics&amp;Parameters'!$B$8,""))</f>
        <v/>
      </c>
      <c r="C1065" s="8"/>
      <c r="E1065" s="7" t="s">
        <v>25</v>
      </c>
      <c r="F1065" s="8" t="s">
        <v>25</v>
      </c>
      <c r="I1065" s="7" t="str">
        <f>IF(I1064&lt;'Characteristics&amp;Parameters'!$B$17,ConcentrationsCalculations!I1064+1,IF(I1064="DS Node","",IF(I1064="","","DS Node")))</f>
        <v/>
      </c>
      <c r="J1065" s="13" t="str">
        <f>IF(I1065="DS Node",'Characteristics&amp;Parameters'!$B$8,IF(I1065&lt;='Characteristics&amp;Parameters'!$B$17,((1-'Characteristics&amp;Parameters'!$B$19)*ConcentrationsCalculations!F1065+'Characteristics&amp;Parameters'!$B$19*ConcentrationsCalculations!F1064-F1065/86400*'Characteristics&amp;Parameters'!$B$11*'Characteristics&amp;Parameters'!$B$12),""))</f>
        <v/>
      </c>
    </row>
    <row r="1066" spans="1:10" x14ac:dyDescent="0.5">
      <c r="A1066" s="7" t="str">
        <f>IF(A1065&lt;'Characteristics&amp;Parameters'!$B$17,ConcentrationsCalculations!A1065+1,IF(A1065="DS Node","",IF(A1065="","","DS Node")))</f>
        <v/>
      </c>
      <c r="B1066" s="8" t="str">
        <f>IF(A1066&lt;='Characteristics&amp;Parameters'!$B$17,'Characteristics&amp;Parameters'!$B$7,IF(ConcentrationsCalculations!A1066="DS Node",'Characteristics&amp;Parameters'!$B$8,""))</f>
        <v/>
      </c>
      <c r="C1066" s="8"/>
      <c r="E1066" s="7" t="s">
        <v>25</v>
      </c>
      <c r="F1066" s="8" t="s">
        <v>25</v>
      </c>
    </row>
    <row r="1067" spans="1:10" x14ac:dyDescent="0.5">
      <c r="A1067" s="7" t="str">
        <f>IF(A1066&lt;'Characteristics&amp;Parameters'!$B$17,ConcentrationsCalculations!A1066+1,IF(A1066="DS Node","",IF(A1066="","","DS Node")))</f>
        <v/>
      </c>
      <c r="B1067" s="8" t="str">
        <f>IF(A1067&lt;='Characteristics&amp;Parameters'!$B$17,'Characteristics&amp;Parameters'!$B$7,IF(ConcentrationsCalculations!A1067="DS Node",'Characteristics&amp;Parameters'!$B$8,""))</f>
        <v/>
      </c>
      <c r="C1067" s="8"/>
      <c r="E1067" s="7" t="s">
        <v>25</v>
      </c>
      <c r="F1067" s="8" t="s">
        <v>25</v>
      </c>
    </row>
    <row r="1068" spans="1:10" x14ac:dyDescent="0.5">
      <c r="A1068" s="7" t="str">
        <f>IF(A1067&lt;'Characteristics&amp;Parameters'!$B$17,ConcentrationsCalculations!A1067+1,IF(A1067="DS Node","",IF(A1067="","","DS Node")))</f>
        <v/>
      </c>
      <c r="B1068" s="8" t="str">
        <f>IF(A1068&lt;='Characteristics&amp;Parameters'!$B$17,'Characteristics&amp;Parameters'!$B$7,IF(ConcentrationsCalculations!A1068="DS Node",'Characteristics&amp;Parameters'!$B$8,""))</f>
        <v/>
      </c>
      <c r="C1068" s="8"/>
      <c r="E1068" s="7" t="s">
        <v>25</v>
      </c>
      <c r="F1068" s="8" t="s">
        <v>25</v>
      </c>
    </row>
    <row r="1069" spans="1:10" x14ac:dyDescent="0.5">
      <c r="A1069" s="7" t="str">
        <f>IF(A1068&lt;'Characteristics&amp;Parameters'!$B$17,ConcentrationsCalculations!A1068+1,IF(A1068="DS Node","",IF(A1068="","","DS Node")))</f>
        <v/>
      </c>
      <c r="B1069" s="8" t="str">
        <f>IF(A1069&lt;='Characteristics&amp;Parameters'!$B$17,'Characteristics&amp;Parameters'!$B$7,IF(ConcentrationsCalculations!A1069="DS Node",'Characteristics&amp;Parameters'!$B$8,""))</f>
        <v/>
      </c>
      <c r="C1069" s="8"/>
      <c r="E1069" s="7" t="s">
        <v>25</v>
      </c>
      <c r="F1069" s="8" t="s">
        <v>25</v>
      </c>
    </row>
    <row r="1070" spans="1:10" x14ac:dyDescent="0.5">
      <c r="A1070" s="7" t="str">
        <f>IF(A1069&lt;'Characteristics&amp;Parameters'!$B$17,ConcentrationsCalculations!A1069+1,IF(A1069="DS Node","",IF(A1069="","","DS Node")))</f>
        <v/>
      </c>
      <c r="B1070" s="8" t="str">
        <f>IF(A1070&lt;='Characteristics&amp;Parameters'!$B$17,'Characteristics&amp;Parameters'!$B$7,IF(ConcentrationsCalculations!A1070="DS Node",'Characteristics&amp;Parameters'!$B$8,""))</f>
        <v/>
      </c>
      <c r="C1070" s="8"/>
      <c r="E1070" s="7" t="s">
        <v>25</v>
      </c>
      <c r="F1070" s="8" t="s">
        <v>25</v>
      </c>
    </row>
    <row r="1071" spans="1:10" x14ac:dyDescent="0.5">
      <c r="A1071" s="7" t="str">
        <f>IF(A1070&lt;'Characteristics&amp;Parameters'!$B$17,ConcentrationsCalculations!A1070+1,IF(A1070="DS Node","",IF(A1070="","","DS Node")))</f>
        <v/>
      </c>
      <c r="B1071" s="8" t="str">
        <f>IF(A1071&lt;='Characteristics&amp;Parameters'!$B$17,'Characteristics&amp;Parameters'!$B$7,IF(ConcentrationsCalculations!A1071="DS Node",'Characteristics&amp;Parameters'!$B$8,""))</f>
        <v/>
      </c>
      <c r="C1071" s="8"/>
      <c r="E1071" s="7" t="s">
        <v>25</v>
      </c>
      <c r="F1071" s="8" t="s">
        <v>25</v>
      </c>
    </row>
    <row r="1072" spans="1:10" x14ac:dyDescent="0.5">
      <c r="A1072" s="7" t="str">
        <f>IF(A1071&lt;'Characteristics&amp;Parameters'!$B$17,ConcentrationsCalculations!A1071+1,IF(A1071="DS Node","",IF(A1071="","","DS Node")))</f>
        <v/>
      </c>
      <c r="B1072" s="8" t="str">
        <f>IF(A1072&lt;='Characteristics&amp;Parameters'!$B$17,'Characteristics&amp;Parameters'!$B$7,IF(ConcentrationsCalculations!A1072="DS Node",'Characteristics&amp;Parameters'!$B$8,""))</f>
        <v/>
      </c>
      <c r="C1072" s="8"/>
      <c r="E1072" s="7" t="s">
        <v>25</v>
      </c>
      <c r="F1072" s="8" t="s">
        <v>25</v>
      </c>
    </row>
    <row r="1073" spans="1:6" x14ac:dyDescent="0.5">
      <c r="A1073" s="7" t="str">
        <f>IF(A1072&lt;'Characteristics&amp;Parameters'!$B$17,ConcentrationsCalculations!A1072+1,IF(A1072="DS Node","",IF(A1072="","","DS Node")))</f>
        <v/>
      </c>
      <c r="B1073" s="8" t="str">
        <f>IF(A1073&lt;='Characteristics&amp;Parameters'!$B$17,'Characteristics&amp;Parameters'!$B$7,IF(ConcentrationsCalculations!A1073="DS Node",'Characteristics&amp;Parameters'!$B$8,""))</f>
        <v/>
      </c>
      <c r="C1073" s="8"/>
      <c r="E1073" s="7" t="s">
        <v>25</v>
      </c>
      <c r="F1073" s="8" t="s">
        <v>25</v>
      </c>
    </row>
    <row r="1074" spans="1:6" x14ac:dyDescent="0.5">
      <c r="A1074" s="7" t="str">
        <f>IF(A1073&lt;'Characteristics&amp;Parameters'!$B$17,ConcentrationsCalculations!A1073+1,IF(A1073="DS Node","",IF(A1073="","","DS Node")))</f>
        <v/>
      </c>
      <c r="B1074" s="8" t="str">
        <f>IF(A1074&lt;='Characteristics&amp;Parameters'!$B$17,'Characteristics&amp;Parameters'!$B$7,IF(ConcentrationsCalculations!A1074="DS Node",'Characteristics&amp;Parameters'!$B$8,""))</f>
        <v/>
      </c>
      <c r="C1074" s="8"/>
      <c r="E1074" s="7" t="s">
        <v>25</v>
      </c>
      <c r="F1074" s="8" t="s">
        <v>25</v>
      </c>
    </row>
    <row r="1075" spans="1:6" x14ac:dyDescent="0.5">
      <c r="A1075" s="7" t="str">
        <f>IF(A1074&lt;'Characteristics&amp;Parameters'!$B$17,ConcentrationsCalculations!A1074+1,IF(A1074="DS Node","",IF(A1074="","","DS Node")))</f>
        <v/>
      </c>
      <c r="B1075" s="8" t="str">
        <f>IF(A1075&lt;='Characteristics&amp;Parameters'!$B$17,'Characteristics&amp;Parameters'!$B$7,IF(ConcentrationsCalculations!A1075="DS Node",'Characteristics&amp;Parameters'!$B$8,""))</f>
        <v/>
      </c>
      <c r="C1075" s="8"/>
      <c r="E1075" s="7" t="s">
        <v>25</v>
      </c>
      <c r="F1075" s="8" t="s">
        <v>25</v>
      </c>
    </row>
    <row r="1076" spans="1:6" x14ac:dyDescent="0.5">
      <c r="A1076" s="7" t="str">
        <f>IF(A1075&lt;'Characteristics&amp;Parameters'!$B$17,ConcentrationsCalculations!A1075+1,IF(A1075="DS Node","",IF(A1075="","","DS Node")))</f>
        <v/>
      </c>
      <c r="B1076" s="8" t="str">
        <f>IF(A1076&lt;='Characteristics&amp;Parameters'!$B$17,'Characteristics&amp;Parameters'!$B$7,IF(ConcentrationsCalculations!A1076="DS Node",'Characteristics&amp;Parameters'!$B$8,""))</f>
        <v/>
      </c>
      <c r="C1076" s="8"/>
      <c r="E1076" s="7" t="s">
        <v>25</v>
      </c>
      <c r="F1076" s="8" t="s">
        <v>25</v>
      </c>
    </row>
    <row r="1077" spans="1:6" x14ac:dyDescent="0.5">
      <c r="A1077" s="7" t="str">
        <f>IF(A1076&lt;'Characteristics&amp;Parameters'!$B$17,ConcentrationsCalculations!A1076+1,IF(A1076="DS Node","",IF(A1076="","","DS Node")))</f>
        <v/>
      </c>
      <c r="B1077" s="8" t="str">
        <f>IF(A1077&lt;='Characteristics&amp;Parameters'!$B$17,'Characteristics&amp;Parameters'!$B$7,IF(ConcentrationsCalculations!A1077="DS Node",'Characteristics&amp;Parameters'!$B$8,""))</f>
        <v/>
      </c>
      <c r="C1077" s="8"/>
      <c r="E1077" s="7" t="s">
        <v>25</v>
      </c>
      <c r="F1077" s="8" t="s">
        <v>25</v>
      </c>
    </row>
    <row r="1078" spans="1:6" x14ac:dyDescent="0.5">
      <c r="A1078" s="7" t="str">
        <f>IF(A1077&lt;'Characteristics&amp;Parameters'!$B$17,ConcentrationsCalculations!A1077+1,IF(A1077="DS Node","",IF(A1077="","","DS Node")))</f>
        <v/>
      </c>
      <c r="B1078" s="8" t="str">
        <f>IF(A1078&lt;='Characteristics&amp;Parameters'!$B$17,'Characteristics&amp;Parameters'!$B$7,IF(ConcentrationsCalculations!A1078="DS Node",'Characteristics&amp;Parameters'!$B$8,""))</f>
        <v/>
      </c>
      <c r="C1078" s="8"/>
      <c r="E1078" s="7" t="s">
        <v>25</v>
      </c>
      <c r="F1078" s="8" t="s">
        <v>25</v>
      </c>
    </row>
  </sheetData>
  <conditionalFormatting sqref="K1">
    <cfRule type="cellIs" dxfId="1" priority="1" operator="equal">
      <formula>"End of Simulation"</formula>
    </cfRule>
    <cfRule type="cellIs" dxfId="0" priority="2" operator="equal">
      <formula>"Continue"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tartOver">
                <anchor moveWithCells="1" sizeWithCells="1">
                  <from>
                    <xdr:col>10</xdr:col>
                    <xdr:colOff>478367</xdr:colOff>
                    <xdr:row>5</xdr:row>
                    <xdr:rowOff>0</xdr:rowOff>
                  </from>
                  <to>
                    <xdr:col>12</xdr:col>
                    <xdr:colOff>431800</xdr:colOff>
                    <xdr:row>8</xdr:row>
                    <xdr:rowOff>135467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NextTimeStepSimulation">
                <anchor moveWithCells="1" sizeWithCells="1">
                  <from>
                    <xdr:col>10</xdr:col>
                    <xdr:colOff>465667</xdr:colOff>
                    <xdr:row>9</xdr:row>
                    <xdr:rowOff>165100</xdr:rowOff>
                  </from>
                  <to>
                    <xdr:col>12</xdr:col>
                    <xdr:colOff>419100</xdr:colOff>
                    <xdr:row>13</xdr:row>
                    <xdr:rowOff>122767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RunSimulationUntilEnd">
                <anchor moveWithCells="1" sizeWithCells="1">
                  <from>
                    <xdr:col>10</xdr:col>
                    <xdr:colOff>461433</xdr:colOff>
                    <xdr:row>15</xdr:row>
                    <xdr:rowOff>12700</xdr:rowOff>
                  </from>
                  <to>
                    <xdr:col>12</xdr:col>
                    <xdr:colOff>414867</xdr:colOff>
                    <xdr:row>18</xdr:row>
                    <xdr:rowOff>148167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Characteristics&amp;Parameters</vt:lpstr>
      <vt:lpstr>ConcentrationsCalculations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Salma ElSherif</dc:creator>
  <cp:lastModifiedBy>ElSherif, Salma M</cp:lastModifiedBy>
  <dcterms:created xsi:type="dcterms:W3CDTF">2015-06-05T18:17:20Z</dcterms:created>
  <dcterms:modified xsi:type="dcterms:W3CDTF">2024-06-20T13:47:09Z</dcterms:modified>
</cp:coreProperties>
</file>